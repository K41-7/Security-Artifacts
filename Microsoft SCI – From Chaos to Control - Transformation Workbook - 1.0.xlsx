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microsoft-my.sharepoint.com/personal/stelvers_microsoft_com/Documents/Toolchest/Security/"/>
    </mc:Choice>
  </mc:AlternateContent>
  <xr:revisionPtr revIDLastSave="5" documentId="8_{7DB0FD90-99B8-4AE8-9AD6-F221520DF177}" xr6:coauthVersionLast="47" xr6:coauthVersionMax="47" xr10:uidLastSave="{6760D8FA-E319-4939-8D36-8E6E3109CE0E}"/>
  <bookViews>
    <workbookView xWindow="-98" yWindow="-98" windowWidth="33946" windowHeight="21975" activeTab="3" xr2:uid="{46A2FFCF-D68C-40C6-90CB-2FDB09BFBAD5}"/>
  </bookViews>
  <sheets>
    <sheet name="Config" sheetId="11" r:id="rId1"/>
    <sheet name="Exec Summary" sheetId="7" r:id="rId2"/>
    <sheet name="Maturity Matrix" sheetId="5" r:id="rId3"/>
    <sheet name="SCIMP Plan" sheetId="6" r:id="rId4"/>
    <sheet name="Text" sheetId="12" state="hidden" r:id="rId5"/>
    <sheet name="Inventory" sheetId="13" state="hidden" r:id="rId6"/>
    <sheet name="MW Plan" sheetId="9" state="hidden" r:id="rId7"/>
    <sheet name="Accessibility" sheetId="10" state="hidden" r:id="rId8"/>
    <sheet name="Data Validations" sheetId="8" state="hidden" r:id="rId9"/>
  </sheets>
  <definedNames>
    <definedName name="_xlnm._FilterDatabase" localSheetId="6" hidden="1">'MW Plan'!$A$1:$AB$25</definedName>
    <definedName name="_xlnm._FilterDatabase" localSheetId="3" hidden="1">'SCIMP Plan'!$A$1:$AC$241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1" i="6" l="1"/>
  <c r="T222" i="6"/>
  <c r="D222" i="6"/>
  <c r="T231" i="6"/>
  <c r="D230" i="6"/>
  <c r="T43" i="6"/>
  <c r="D43" i="6"/>
  <c r="T230" i="6"/>
  <c r="T229" i="6"/>
  <c r="T42" i="6"/>
  <c r="D42" i="6"/>
  <c r="Y50" i="7" a="1"/>
  <c r="Y49" i="7" a="1"/>
  <c r="Y48" i="7" a="1"/>
  <c r="S49" i="7" a="1"/>
  <c r="S48" i="7" a="1"/>
  <c r="S47" i="7" a="1"/>
  <c r="L48" i="7" a="1"/>
  <c r="L47" i="7" a="1"/>
  <c r="L46" i="7" a="1"/>
  <c r="D48" i="7" a="1"/>
  <c r="D47" i="7" a="1"/>
  <c r="D46" i="7" a="1"/>
  <c r="K34" i="7" a="1"/>
  <c r="K33" i="7" a="1"/>
  <c r="K32" i="7" a="1"/>
  <c r="D34" i="7" a="1"/>
  <c r="D33" i="7" a="1"/>
  <c r="D32" i="7" a="1"/>
  <c r="S12" i="7" a="1"/>
  <c r="S14" i="7" a="1"/>
  <c r="S13" i="7" a="1"/>
  <c r="T152" i="6"/>
  <c r="D41" i="6"/>
  <c r="T228" i="6"/>
  <c r="T227" i="6"/>
  <c r="T226" i="6"/>
  <c r="T225" i="6"/>
  <c r="T224" i="6"/>
  <c r="T223" i="6"/>
  <c r="D229" i="6"/>
  <c r="D228" i="6"/>
  <c r="D32" i="6"/>
  <c r="D224" i="6"/>
  <c r="D5" i="6"/>
  <c r="D4" i="6"/>
  <c r="T208" i="6"/>
  <c r="T207" i="6"/>
  <c r="T183" i="6"/>
  <c r="T182" i="6"/>
  <c r="T96" i="6"/>
  <c r="T95" i="6"/>
  <c r="T90" i="6"/>
  <c r="T94" i="6"/>
  <c r="D96" i="6"/>
  <c r="D95" i="6"/>
  <c r="D77" i="6"/>
  <c r="D90" i="6"/>
  <c r="D89" i="6"/>
  <c r="T55" i="6"/>
  <c r="T54" i="6"/>
  <c r="T35" i="6"/>
  <c r="T34" i="6"/>
  <c r="T22" i="6"/>
  <c r="T53" i="6"/>
  <c r="T52" i="6"/>
  <c r="T23" i="6"/>
  <c r="D35" i="6"/>
  <c r="D55" i="6"/>
  <c r="D54" i="6"/>
  <c r="D53" i="6"/>
  <c r="D49" i="6"/>
  <c r="D34" i="6"/>
  <c r="T216" i="6"/>
  <c r="T217" i="6"/>
  <c r="T218" i="6"/>
  <c r="T219" i="6"/>
  <c r="T220" i="6"/>
  <c r="T221" i="6"/>
  <c r="T232" i="6"/>
  <c r="T233" i="6"/>
  <c r="T234" i="6"/>
  <c r="T236" i="6"/>
  <c r="T237" i="6"/>
  <c r="T238" i="6"/>
  <c r="T239" i="6"/>
  <c r="T240" i="6"/>
  <c r="T241" i="6"/>
  <c r="T2" i="6"/>
  <c r="T3" i="6"/>
  <c r="T4" i="6"/>
  <c r="T5" i="6"/>
  <c r="T6" i="6"/>
  <c r="T7" i="6"/>
  <c r="T8" i="6"/>
  <c r="T9" i="6"/>
  <c r="T10" i="6"/>
  <c r="T11" i="6"/>
  <c r="T12" i="6"/>
  <c r="T13" i="6"/>
  <c r="T14" i="6"/>
  <c r="T15" i="6"/>
  <c r="T16" i="6"/>
  <c r="T17" i="6"/>
  <c r="T18" i="6"/>
  <c r="T19" i="6"/>
  <c r="T20" i="6"/>
  <c r="T21" i="6"/>
  <c r="T24" i="6"/>
  <c r="T25" i="6"/>
  <c r="T26" i="6"/>
  <c r="T27" i="6"/>
  <c r="T28" i="6"/>
  <c r="T29" i="6"/>
  <c r="T30" i="6"/>
  <c r="T31" i="6"/>
  <c r="T32" i="6"/>
  <c r="T33" i="6"/>
  <c r="T36" i="6"/>
  <c r="T37" i="6"/>
  <c r="T38" i="6"/>
  <c r="T39" i="6"/>
  <c r="T40" i="6"/>
  <c r="T41" i="6"/>
  <c r="T44" i="6"/>
  <c r="T45" i="6"/>
  <c r="T46" i="6"/>
  <c r="T47" i="6"/>
  <c r="T48" i="6"/>
  <c r="T49" i="6"/>
  <c r="T50" i="6"/>
  <c r="T51"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1" i="6"/>
  <c r="T92" i="6"/>
  <c r="T93"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4" i="6"/>
  <c r="T185" i="6"/>
  <c r="T186" i="6"/>
  <c r="T187" i="6"/>
  <c r="T188" i="6"/>
  <c r="T189" i="6"/>
  <c r="T190" i="6"/>
  <c r="T191" i="6"/>
  <c r="T192" i="6"/>
  <c r="T193" i="6"/>
  <c r="T194" i="6"/>
  <c r="T195" i="6"/>
  <c r="T196" i="6"/>
  <c r="T197" i="6"/>
  <c r="T198" i="6"/>
  <c r="T199" i="6"/>
  <c r="T200" i="6"/>
  <c r="T201" i="6"/>
  <c r="T202" i="6"/>
  <c r="T203" i="6"/>
  <c r="T204" i="6"/>
  <c r="T205" i="6"/>
  <c r="T206" i="6"/>
  <c r="T209" i="6"/>
  <c r="T210" i="6"/>
  <c r="T211" i="6"/>
  <c r="T212" i="6"/>
  <c r="T213" i="6"/>
  <c r="T214" i="6"/>
  <c r="T235" i="6"/>
  <c r="T215" i="6"/>
  <c r="D127" i="6"/>
  <c r="D129" i="6"/>
  <c r="D207" i="6"/>
  <c r="D200" i="6"/>
  <c r="D197" i="6"/>
  <c r="D202" i="6"/>
  <c r="D201" i="6"/>
  <c r="D21" i="6" l="1"/>
  <c r="D20" i="6"/>
  <c r="D40" i="6"/>
  <c r="D66" i="6"/>
  <c r="D52" i="6"/>
  <c r="D50" i="6"/>
  <c r="D58" i="6"/>
  <c r="D57" i="6"/>
  <c r="D65" i="6" l="1"/>
  <c r="D63" i="6"/>
  <c r="D64" i="6"/>
  <c r="D51" i="6"/>
  <c r="D39" i="6"/>
  <c r="D38" i="6"/>
  <c r="D132" i="6"/>
  <c r="T65" i="7" a="1"/>
  <c r="T66" i="7" a="1"/>
  <c r="T67" i="7" a="1"/>
  <c r="L67" i="7" a="1"/>
  <c r="Y12" i="7" a="1"/>
  <c r="Y13" i="7" a="1"/>
  <c r="Y14" i="7" a="1"/>
  <c r="K14" i="7" a="1"/>
  <c r="K13" i="7" a="1"/>
  <c r="K12" i="7" a="1"/>
  <c r="D12" i="7" a="1"/>
  <c r="D13" i="7" a="1"/>
  <c r="D14" i="7" a="1"/>
  <c r="E65" i="7" a="1"/>
  <c r="E67" i="7" a="1"/>
  <c r="E66" i="7" a="1"/>
  <c r="L66" i="7" a="1"/>
  <c r="L65" i="7" a="1"/>
  <c r="D114" i="7"/>
  <c r="D113" i="7"/>
  <c r="D115" i="7"/>
  <c r="D111" i="6"/>
  <c r="D107" i="6" l="1"/>
  <c r="D135" i="6"/>
  <c r="D134" i="6"/>
  <c r="D93" i="6"/>
  <c r="D94" i="6"/>
  <c r="D81" i="6"/>
  <c r="D80" i="6"/>
  <c r="D88" i="6"/>
  <c r="D139" i="6"/>
  <c r="D141" i="6"/>
  <c r="D140" i="6"/>
  <c r="D31" i="6" l="1"/>
  <c r="D27" i="6"/>
  <c r="D69" i="6"/>
  <c r="D68" i="6"/>
  <c r="D70" i="6"/>
  <c r="Y88" i="7" l="1" a="1"/>
  <c r="Y84" i="7"/>
  <c r="R88" i="7" a="1"/>
  <c r="R84" i="7"/>
  <c r="D88" i="7" a="1"/>
  <c r="K88" i="7" a="1"/>
  <c r="K84" i="7"/>
  <c r="D84" i="7"/>
  <c r="Y87" i="7" l="1"/>
  <c r="Y86" i="7"/>
  <c r="Y85" i="7"/>
  <c r="Y83" i="7"/>
  <c r="R87" i="7"/>
  <c r="R85" i="7"/>
  <c r="R83" i="7"/>
  <c r="R86" i="7"/>
  <c r="K87" i="7"/>
  <c r="K86" i="7"/>
  <c r="K85" i="7"/>
  <c r="K83" i="7"/>
  <c r="D87" i="7"/>
  <c r="D86" i="7"/>
  <c r="D85" i="7"/>
  <c r="D83" i="7"/>
  <c r="D195" i="6" l="1"/>
  <c r="D6" i="6"/>
  <c r="D238" i="6" l="1"/>
  <c r="D239" i="6"/>
  <c r="D241" i="6"/>
  <c r="D240" i="6"/>
  <c r="D212" i="6"/>
  <c r="D210" i="6"/>
  <c r="D25" i="6" l="1"/>
  <c r="D205" i="6"/>
  <c r="D204" i="6"/>
  <c r="D128" i="6"/>
  <c r="D92" i="6"/>
  <c r="D28" i="6"/>
  <c r="D26" i="6"/>
  <c r="D17" i="6"/>
  <c r="D16" i="6"/>
  <c r="D217" i="6" l="1"/>
  <c r="D213" i="6"/>
  <c r="D164" i="6"/>
  <c r="D105" i="6"/>
  <c r="D109" i="6"/>
  <c r="D85" i="6"/>
  <c r="D84" i="6"/>
  <c r="D101" i="6"/>
  <c r="D100" i="6"/>
  <c r="D79" i="6"/>
  <c r="D78" i="6"/>
  <c r="D48" i="6"/>
  <c r="D47" i="6"/>
  <c r="D46" i="6"/>
  <c r="D86" i="6"/>
  <c r="D30" i="6"/>
  <c r="D23" i="6"/>
  <c r="D29" i="6" l="1"/>
  <c r="D211" i="6"/>
  <c r="D120" i="6"/>
  <c r="D214" i="6"/>
  <c r="D216" i="6"/>
  <c r="D198" i="6"/>
  <c r="D206" i="6"/>
  <c r="D203" i="6"/>
  <c r="D199" i="6"/>
  <c r="D220" i="6"/>
  <c r="D219" i="6"/>
  <c r="D218" i="6"/>
  <c r="D234" i="6"/>
  <c r="D192" i="6"/>
  <c r="D194" i="6"/>
  <c r="D193" i="6"/>
  <c r="D189" i="6"/>
  <c r="D191" i="6"/>
  <c r="D190" i="6"/>
  <c r="D188" i="6"/>
  <c r="D187" i="6"/>
  <c r="D182" i="6"/>
  <c r="D179" i="6"/>
  <c r="D177" i="6"/>
  <c r="D176" i="6"/>
  <c r="D174" i="6"/>
  <c r="D173" i="6"/>
  <c r="D171" i="6"/>
  <c r="D170" i="6"/>
  <c r="D169" i="6"/>
  <c r="D168" i="6"/>
  <c r="D167" i="6"/>
  <c r="D166" i="6"/>
  <c r="D163" i="6"/>
  <c r="D131" i="6"/>
  <c r="D130" i="6"/>
  <c r="D123" i="6"/>
  <c r="D119" i="6"/>
  <c r="D118" i="6"/>
  <c r="D117" i="6"/>
  <c r="D122" i="6"/>
  <c r="D121" i="6"/>
  <c r="D116" i="6"/>
  <c r="D115" i="6"/>
  <c r="D114" i="6"/>
  <c r="D113" i="6"/>
  <c r="D112" i="6"/>
  <c r="D106" i="6"/>
  <c r="D83" i="6"/>
  <c r="D99" i="6"/>
  <c r="D76" i="6"/>
  <c r="D62" i="6"/>
  <c r="D61" i="6"/>
  <c r="D37" i="6"/>
  <c r="D19" i="6"/>
  <c r="D15" i="6"/>
  <c r="D14" i="6"/>
  <c r="D18" i="6"/>
  <c r="D13" i="6"/>
  <c r="D45" i="6"/>
  <c r="D10" i="6"/>
  <c r="D9" i="6"/>
  <c r="D8" i="6"/>
  <c r="D112" i="7" l="1"/>
  <c r="D110" i="7"/>
  <c r="D1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Jacobs</author>
    <author>Chris Howett</author>
  </authors>
  <commentList>
    <comment ref="A1" authorId="0" shapeId="0" xr:uid="{1DD98062-E74C-40CD-A480-26D596C9DB23}">
      <text>
        <r>
          <rPr>
            <sz val="9"/>
            <color indexed="81"/>
            <rFont val="Tahoma"/>
            <family val="2"/>
          </rPr>
          <t>List of products or features in the Microsoft Security stack. Please click on a feature to link to Microsoft documentation on deployment/implementation guidance.</t>
        </r>
      </text>
    </comment>
    <comment ref="B1" authorId="0" shapeId="0" xr:uid="{157EC751-0331-4120-B637-8D057104F5BC}">
      <text>
        <r>
          <rPr>
            <sz val="9"/>
            <color indexed="81"/>
            <rFont val="Tahoma"/>
            <family val="2"/>
          </rPr>
          <t>High level license. Please filter this column for the specific licenses you wish to work with.</t>
        </r>
      </text>
    </comment>
    <comment ref="C1" authorId="0" shapeId="0" xr:uid="{15B6C5EA-00B2-46E8-879F-7350AAF16369}">
      <text>
        <r>
          <rPr>
            <sz val="9"/>
            <color indexed="81"/>
            <rFont val="Tahoma"/>
            <family val="2"/>
          </rPr>
          <t xml:space="preserve">This column is to help filter this spreadsheet:
"__" = main heading
"_" = Subheading
</t>
        </r>
        <r>
          <rPr>
            <b/>
            <sz val="9"/>
            <color indexed="81"/>
            <rFont val="Tahoma"/>
            <family val="2"/>
          </rPr>
          <t>"Product"</t>
        </r>
        <r>
          <rPr>
            <sz val="9"/>
            <color indexed="81"/>
            <rFont val="Tahoma"/>
            <family val="2"/>
          </rPr>
          <t xml:space="preserve"> = Full licensed product
</t>
        </r>
        <r>
          <rPr>
            <b/>
            <sz val="9"/>
            <color indexed="81"/>
            <rFont val="Tahoma"/>
            <family val="2"/>
          </rPr>
          <t>"Feature"</t>
        </r>
        <r>
          <rPr>
            <sz val="9"/>
            <color indexed="81"/>
            <rFont val="Tahoma"/>
            <family val="2"/>
          </rPr>
          <t xml:space="preserve"> = a feature of a product
</t>
        </r>
        <r>
          <rPr>
            <b/>
            <sz val="9"/>
            <color indexed="81"/>
            <rFont val="Tahoma"/>
            <family val="2"/>
          </rPr>
          <t>"Configuration"</t>
        </r>
        <r>
          <rPr>
            <sz val="9"/>
            <color indexed="81"/>
            <rFont val="Tahoma"/>
            <family val="2"/>
          </rPr>
          <t xml:space="preserve"> = specific configuration of a feature or product, such as a good practice
</t>
        </r>
        <r>
          <rPr>
            <b/>
            <sz val="9"/>
            <color indexed="81"/>
            <rFont val="Tahoma"/>
            <family val="2"/>
          </rPr>
          <t>"Suggestion"</t>
        </r>
        <r>
          <rPr>
            <sz val="9"/>
            <color indexed="81"/>
            <rFont val="Tahoma"/>
            <family val="2"/>
          </rPr>
          <t xml:space="preserve"> = A suggested change that can improve your security posture or reduce workload
</t>
        </r>
        <r>
          <rPr>
            <b/>
            <sz val="9"/>
            <color indexed="81"/>
            <rFont val="Tahoma"/>
            <family val="2"/>
          </rPr>
          <t>"Process"</t>
        </r>
        <r>
          <rPr>
            <sz val="9"/>
            <color indexed="81"/>
            <rFont val="Tahoma"/>
            <family val="2"/>
          </rPr>
          <t xml:space="preserve"> = a possible process for your organization to adopt, may not be a direct technical change or could be an internal (governance) process
</t>
        </r>
        <r>
          <rPr>
            <b/>
            <sz val="9"/>
            <color indexed="81"/>
            <rFont val="Tahoma"/>
            <family val="2"/>
          </rPr>
          <t xml:space="preserve">"Consideration" </t>
        </r>
        <r>
          <rPr>
            <sz val="9"/>
            <color indexed="81"/>
            <rFont val="Tahoma"/>
            <family val="2"/>
          </rPr>
          <t>= possible services to implement that may or may not be covered in a license and does not match any category above</t>
        </r>
      </text>
    </comment>
    <comment ref="D1" authorId="0" shapeId="0" xr:uid="{4E37BEBD-D286-4950-A9BF-7E22C7D51C56}">
      <text>
        <r>
          <rPr>
            <sz val="9"/>
            <color indexed="81"/>
            <rFont val="Tahoma"/>
            <family val="2"/>
          </rPr>
          <t>Numbers refer to row number of technology or feature that should be implemented first or before to obtain 
maximum value from current row.</t>
        </r>
      </text>
    </comment>
    <comment ref="E1" authorId="0" shapeId="0" xr:uid="{DB7A1F07-884A-427E-882E-6D305C5EEEEF}">
      <text>
        <r>
          <rPr>
            <sz val="9"/>
            <color indexed="81"/>
            <rFont val="Tahoma"/>
            <family val="2"/>
          </rPr>
          <t>Please click on heading for link to published guidance created by Microsoft and National Cyber Security Centre (NCSC)</t>
        </r>
      </text>
    </comment>
    <comment ref="F1" authorId="1" shapeId="0" xr:uid="{C1E6E0CF-7224-4BB4-8CFA-F20DDE6C35E8}">
      <text>
        <r>
          <rPr>
            <sz val="9"/>
            <color indexed="81"/>
            <rFont val="Tahoma"/>
            <family val="2"/>
          </rPr>
          <t>To be filled in. Typically, a priority of 1 to 4 is used:
1) High Priority
2) Medium Priority
3) Low Priority
4) or "-" No Priority
D) Deployed (RAG status updated and Maturity Matrix/Exec Summary updated)
W) Work in Progress (What you are currently deploying
*Priority should be relative to the listed technologies, not other projects.</t>
        </r>
      </text>
    </comment>
    <comment ref="G1" authorId="0" shapeId="0" xr:uid="{B8A53CAD-48F5-4335-94C9-CD38E653B056}">
      <text>
        <r>
          <rPr>
            <sz val="9"/>
            <color indexed="81"/>
            <rFont val="Tahoma"/>
            <family val="2"/>
          </rPr>
          <t>This references the planning stages, such as understanding the work that is going to be carried out, understanding the impact on the business, documentation, high and/or low level designs. This can also include defining pilot groups and users and running proof of concepts.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H1" authorId="0" shapeId="0" xr:uid="{89AF309D-4BAF-40F2-A2B5-08C462A53FAC}">
      <text>
        <r>
          <rPr>
            <sz val="9"/>
            <color indexed="81"/>
            <rFont val="Tahoma"/>
            <family val="2"/>
          </rPr>
          <t>This references the changes made to production environments before these changes impact the end users. This can include testing and production pilots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I1" authorId="0" shapeId="0" xr:uid="{84706F44-84AE-4443-B572-7558EA238B88}">
      <text>
        <r>
          <rPr>
            <sz val="9"/>
            <color indexed="81"/>
            <rFont val="Tahoma"/>
            <family val="2"/>
          </rPr>
          <t>This refences the role out to all relevant production users. In short, the end users (where applicable) would benefit from the changes being made. Wherever users are involved in deployment, such as enrolling into MFA, the time is automatically red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J1" authorId="0" shapeId="0" xr:uid="{724AFB88-C56B-4547-A674-C19980ADB3CF}">
      <text>
        <r>
          <rPr>
            <sz val="9"/>
            <color indexed="81"/>
            <rFont val="Tahoma"/>
            <family val="2"/>
          </rPr>
          <t>Represents the impact on the end user and they operate day to day
Colours represent impact:
Green = Little or no change
Amber = A new process (such as MFA)
Red = A new way of working
Black - Non technical change, such as a suggestion or process</t>
        </r>
      </text>
    </comment>
    <comment ref="K1" authorId="0" shapeId="0" xr:uid="{2B1B3096-0578-4768-BB5E-3136472E463B}">
      <text>
        <r>
          <rPr>
            <sz val="9"/>
            <color indexed="81"/>
            <rFont val="Tahoma"/>
            <family val="2"/>
          </rPr>
          <t xml:space="preserve">For any notes or comments discussed during workshop
</t>
        </r>
      </text>
    </comment>
    <comment ref="L1" authorId="0" shapeId="0" xr:uid="{90D9D947-2744-4688-ACFC-E9FB90E38574}">
      <text>
        <r>
          <rPr>
            <sz val="9"/>
            <color indexed="81"/>
            <rFont val="Tahoma"/>
            <family val="2"/>
          </rPr>
          <t xml:space="preserve">Anticipated deployment resource:
Account team (education only)
FastTrack
Unified Support (including DSE)
ISD (MCS)
CSA
Partner
Self (no help)
Please use this column to help determine cost of change
</t>
        </r>
      </text>
    </comment>
    <comment ref="M1" authorId="0" shapeId="0" xr:uid="{B5E9B950-08AB-4F71-ADF8-ED0427A26A7D}">
      <text>
        <r>
          <rPr>
            <b/>
            <sz val="9"/>
            <color indexed="81"/>
            <rFont val="Tahoma"/>
            <charset val="1"/>
          </rPr>
          <t>Stefanie Jacobs:</t>
        </r>
        <r>
          <rPr>
            <sz val="9"/>
            <color indexed="81"/>
            <rFont val="Tahoma"/>
            <charset val="1"/>
          </rPr>
          <t xml:space="preserve">
Choices of: 
Assessment
Implementation
Training (BAU)</t>
        </r>
      </text>
    </comment>
    <comment ref="Q1" authorId="0" shapeId="0" xr:uid="{4C49AE9F-0E06-4436-9063-A60D55F1FD55}">
      <text>
        <r>
          <rPr>
            <sz val="9"/>
            <color indexed="81"/>
            <rFont val="Tahoma"/>
            <family val="2"/>
          </rPr>
          <t>List any existing third party products that have the same functionality. This can help determine cost consolidation benefits and faster ROI on Microsoft security products</t>
        </r>
      </text>
    </comment>
    <comment ref="R1" authorId="0" shapeId="0" xr:uid="{4A5B221C-D80F-4E83-83AC-7B1466DE645A}">
      <text>
        <r>
          <rPr>
            <sz val="9"/>
            <color indexed="81"/>
            <rFont val="Tahoma"/>
            <family val="2"/>
          </rPr>
          <t>Contract end date of third party product listed in column Q. This can help determine priority order of Microsoft product deployment from a business value perspective.</t>
        </r>
      </text>
    </comment>
    <comment ref="U1" authorId="0" shapeId="0" xr:uid="{0F096786-2779-4D7B-BAFA-BE42C50DD2F0}">
      <text>
        <r>
          <rPr>
            <sz val="9"/>
            <color indexed="81"/>
            <rFont val="Tahoma"/>
            <family val="2"/>
          </rPr>
          <t>Details the type of resource from the customer side that is typically involved in the deployment of the technology product or feature. These are only estimates and may not align to your organization's structure (i.e., you may be more granular or more broad).
Understanding the resourcing required should help in defining priorities and support that is required. This has been provided for information purposes only and should help you make an informed decision.</t>
        </r>
      </text>
    </comment>
    <comment ref="X1" authorId="0" shapeId="0" xr:uid="{4CADE353-ED4B-43AE-8FF7-077199BBB4D0}">
      <text>
        <r>
          <rPr>
            <sz val="9"/>
            <color indexed="81"/>
            <rFont val="Tahoma"/>
            <family val="2"/>
          </rPr>
          <t>Determines the level of control and visibility a specific organisation would have in a multi-org tenant.
Organization Specific - Controls can be limited to specific organizations and only visible to that org (excl. wider permissions) - i.e. One org can view and manage their users/devices without anyone else, but an overarching support service can manage devices in multiple organizations.
Scoped - Configured controls are visible to all respective admins in the tenant but the control can be limited to specific organizations - i.e., all sensitivity labels can be viewed by admins but deployed to end users in specific orgs by policy.
Tenant Wide - These controls cannot be limited to specific organisations - i.e., Safe Documents is turned on in a global policy.
Tenant Wide, Scoped controls - These are services that cannot be limited to any onboarded organization by and org and can be excluded by not onboarding it to a system - i.e., Defender for Endpoint is tenant wide but if the agent is not deployed to a specific domain, it can effectively be out of scope.</t>
        </r>
      </text>
    </comment>
    <comment ref="A21" authorId="0" shapeId="0" xr:uid="{257E3899-C3C1-4BC0-8CBF-F87FA1EB635A}">
      <text>
        <r>
          <rPr>
            <sz val="9"/>
            <color indexed="81"/>
            <rFont val="Tahoma"/>
            <family val="2"/>
          </rPr>
          <t xml:space="preserve">Software OATH Tokens are generally available, Hardware OATH Tokens are currently in Preview.
</t>
        </r>
      </text>
    </comment>
    <comment ref="A23" authorId="0" shapeId="0" xr:uid="{0E892141-1603-4EDA-A696-8B4DB502E631}">
      <text>
        <r>
          <rPr>
            <sz val="9"/>
            <color indexed="81"/>
            <rFont val="Tahoma"/>
            <family val="2"/>
          </rPr>
          <t>After May 8, 2023, when number matching is enabled for all users, anyone who performs a RADIUS connection with NPS extension version 1.2.2216.1 or later will be prompted to sign in with a TOTP method instead. Users must have a TOTP authentication method registered to see this behavior. Without a TOTP method registered, users continue to see Approve/Deny.</t>
        </r>
      </text>
    </comment>
    <comment ref="B27" authorId="0" shapeId="0" xr:uid="{BAF010C6-4F60-4997-A5F1-FA81B6591F32}">
      <text>
        <r>
          <rPr>
            <sz val="9"/>
            <color indexed="81"/>
            <rFont val="Tahoma"/>
            <charset val="1"/>
          </rPr>
          <t xml:space="preserve">Defender Suite is the new name of M365 E5 Security
Defender Suite FLW is the new name of M365 F5 Security
</t>
        </r>
      </text>
    </comment>
    <comment ref="B28" authorId="0" shapeId="0" xr:uid="{9B903E51-DAB2-48AE-A852-ABBBA1B1B494}">
      <text>
        <r>
          <rPr>
            <sz val="9"/>
            <color indexed="81"/>
            <rFont val="Tahoma"/>
            <charset val="1"/>
          </rPr>
          <t>Defender Suite is the new name of M365 E5 Security
Purview Suite is the new name of M365 E5 Compliance
Defender Suite FLW is the new name of M365 F5 Security</t>
        </r>
      </text>
    </comment>
    <comment ref="B33" authorId="0" shapeId="0" xr:uid="{D722FFE8-FBE5-4F40-94A1-4E42896A17C1}">
      <text>
        <r>
          <rPr>
            <sz val="9"/>
            <color indexed="81"/>
            <rFont val="Tahoma"/>
            <family val="2"/>
          </rPr>
          <t xml:space="preserve">Although Workload Identites are in Entra ID Free, Entra Workload Identites Premium is required for conditional access
</t>
        </r>
      </text>
    </comment>
    <comment ref="B38" authorId="0" shapeId="0" xr:uid="{CA927339-9A3E-447D-A26B-EFCA8953DF82}">
      <text>
        <r>
          <rPr>
            <sz val="9"/>
            <color indexed="81"/>
            <rFont val="Tahoma"/>
            <charset val="1"/>
          </rPr>
          <t xml:space="preserve">Defender Suite is the new name of M365 E5 Security
Defender Suite FLW is the new name of M365 F5 Security
</t>
        </r>
      </text>
    </comment>
    <comment ref="B39" authorId="0" shapeId="0" xr:uid="{267ECAF8-804C-43A5-9543-1F01C2310D82}">
      <text>
        <r>
          <rPr>
            <sz val="9"/>
            <color indexed="81"/>
            <rFont val="Tahoma"/>
            <charset val="1"/>
          </rPr>
          <t>Defender Suite is the new name of M365 E5 Security
Purview Suite is the new name of M365 E5 Compliance
Defender Suite FLW is the new name of M365 F5 Security</t>
        </r>
      </text>
    </comment>
    <comment ref="B41" authorId="0" shapeId="0" xr:uid="{10A1DDF5-6E6E-429D-B6D6-DDE86DBE7EB6}">
      <text>
        <r>
          <rPr>
            <sz val="9"/>
            <color indexed="81"/>
            <rFont val="Tahoma"/>
            <family val="2"/>
          </rPr>
          <t>Although Workload Identites are in Using Access Reviews for Service Principals requires a Microsoft Entra Workload ID Premium plan in addition to a Microsoft Entra ID P2 or Microsoft Entra ID Governance license.</t>
        </r>
      </text>
    </comment>
    <comment ref="B42" authorId="0" shapeId="0" xr:uid="{8B25B768-AC62-43A6-BCB2-CCC1A4F689BA}">
      <text>
        <r>
          <rPr>
            <sz val="9"/>
            <color indexed="81"/>
            <rFont val="Tahoma"/>
            <charset val="1"/>
          </rPr>
          <t>Entra governs who agents are and what they can access.
Agent governance governs what agents do, how they behave, and how they interact with data.</t>
        </r>
      </text>
    </comment>
    <comment ref="B63" authorId="0" shapeId="0" xr:uid="{8003EA67-FEA6-4071-86E8-F28916A2ADE0}">
      <text>
        <r>
          <rPr>
            <sz val="9"/>
            <color indexed="81"/>
            <rFont val="Tahoma"/>
            <charset val="1"/>
          </rPr>
          <t xml:space="preserve">Defender Suite is the new name of M365 E5 Security
Defender Suite FLW is the new name of M365 F5 Security
</t>
        </r>
      </text>
    </comment>
    <comment ref="B64" authorId="0" shapeId="0" xr:uid="{718BBF22-9006-4743-B747-CDC1EBE2180D}">
      <text>
        <r>
          <rPr>
            <sz val="9"/>
            <color indexed="81"/>
            <rFont val="Tahoma"/>
            <charset val="1"/>
          </rPr>
          <t xml:space="preserve">Defender Suite is the new name of M365 E5 Security
Defender Suite FLW is the new name of M365 F5 Security
</t>
        </r>
      </text>
    </comment>
    <comment ref="B70" authorId="0" shapeId="0" xr:uid="{03729CE9-3654-45A4-A86C-85F1F36460D7}">
      <text>
        <r>
          <rPr>
            <sz val="9"/>
            <color indexed="81"/>
            <rFont val="Tahoma"/>
            <charset val="1"/>
          </rPr>
          <t xml:space="preserve">Defender Suite is the new name of M365 E5 Security
Defender Suite FLW is the new name of M365 F5 Security
</t>
        </r>
      </text>
    </comment>
    <comment ref="B88" authorId="0" shapeId="0" xr:uid="{D79C8DC5-E5A4-4682-B1FC-5D0BB08CFB79}">
      <text>
        <r>
          <rPr>
            <sz val="9"/>
            <color indexed="81"/>
            <rFont val="Tahoma"/>
            <family val="2"/>
          </rPr>
          <t>Advanced endpoint management, remote support, and device analytics capabilities are included within Microsoft 365 E3, with extended Zero Trust and privilege management capabilities available in Microsoft 365 E5.</t>
        </r>
      </text>
    </comment>
    <comment ref="A89" authorId="0" shapeId="0" xr:uid="{C954E93E-5B8F-491C-932B-B43351761734}">
      <text>
        <r>
          <rPr>
            <sz val="9"/>
            <color indexed="81"/>
            <rFont val="Tahoma"/>
            <family val="2"/>
          </rPr>
          <t xml:space="preserve">Example specialty devices include Augmented Reality headsets, large smart-screen devices, and conference room devices
</t>
        </r>
      </text>
    </comment>
    <comment ref="B89" authorId="0" shapeId="0" xr:uid="{8E73158B-9A37-47C8-843F-926626FD2C8F}">
      <text>
        <r>
          <rPr>
            <sz val="9"/>
            <color indexed="81"/>
            <rFont val="Tahoma"/>
            <family val="2"/>
          </rPr>
          <t>Advanced endpoint management, remote support, and device analytics capabilities are included within Microsoft 365 E3, with extended Zero Trust and privilege management capabilities available in Microsoft 365 E5.</t>
        </r>
      </text>
    </comment>
    <comment ref="B90" authorId="0" shapeId="0" xr:uid="{CC208488-6187-4AD3-9E0C-A769D9BE02FC}">
      <text>
        <r>
          <rPr>
            <sz val="9"/>
            <color indexed="81"/>
            <rFont val="Tahoma"/>
            <family val="2"/>
          </rPr>
          <t>Advanced endpoint management, remote support, and device analytics capabilities are included within Microsoft 365 E3, with extended Zero Trust and privilege management capabilities available in Microsoft 365 E5.</t>
        </r>
      </text>
    </comment>
    <comment ref="B93" authorId="0" shapeId="0" xr:uid="{0C23C4B8-1660-42FD-B161-A4089A6228FA}">
      <text>
        <r>
          <rPr>
            <sz val="9"/>
            <color indexed="81"/>
            <rFont val="Tahoma"/>
            <family val="2"/>
          </rPr>
          <t xml:space="preserve">Microsoft positions it as part of the E5 endpoint + identity + app governance story. Not included in Defender E3/E5 or Defender Suite FLW
</t>
        </r>
      </text>
    </comment>
    <comment ref="B95" authorId="0" shapeId="0" xr:uid="{48A5F809-D37A-4C83-A7AA-D824B832DEA1}">
      <text>
        <r>
          <rPr>
            <sz val="9"/>
            <color indexed="81"/>
            <rFont val="Tahoma"/>
            <family val="2"/>
          </rPr>
          <t xml:space="preserve">Microsoft positions it as part of the E5 endpoint + identity + app governance story. Not included in Defender E3/E5 or Defender Suite FLW
</t>
        </r>
      </text>
    </comment>
    <comment ref="B96" authorId="0" shapeId="0" xr:uid="{DFDCF408-8EB1-43A6-AF45-D7BEFA39AD73}">
      <text>
        <r>
          <rPr>
            <sz val="9"/>
            <color indexed="81"/>
            <rFont val="Tahoma"/>
            <family val="2"/>
          </rPr>
          <t xml:space="preserve">Microsoft positions it as part of the E5 endpoint + identity + app governance story. Not included in Defender E3/E5 or Defender Suite FLW
</t>
        </r>
      </text>
    </comment>
    <comment ref="B111" authorId="0" shapeId="0" xr:uid="{882E5A50-A459-4258-A1C7-9EEEBF74C5A9}">
      <text>
        <r>
          <rPr>
            <sz val="9"/>
            <color indexed="81"/>
            <rFont val="Tahoma"/>
            <family val="2"/>
          </rPr>
          <t xml:space="preserve">Cloud LAPs is in Entra basic but requires Intune P1 to manage it
</t>
        </r>
      </text>
    </comment>
    <comment ref="B126" authorId="0" shapeId="0" xr:uid="{4D015571-6BA7-4B0F-A6D1-14DBADE80DFA}">
      <text>
        <r>
          <rPr>
            <sz val="9"/>
            <color indexed="81"/>
            <rFont val="Tahoma"/>
            <charset val="1"/>
          </rPr>
          <t xml:space="preserve">Defender Suite is the new name of M365 E5 Security
Defender Suite FLW is the new name of M365 F5 Security
</t>
        </r>
      </text>
    </comment>
    <comment ref="B127" authorId="0" shapeId="0" xr:uid="{1D18C702-A203-4FDB-A5C1-D8A27B8032C3}">
      <text>
        <r>
          <rPr>
            <sz val="9"/>
            <color indexed="81"/>
            <rFont val="Tahoma"/>
            <charset val="1"/>
          </rPr>
          <t xml:space="preserve">Defender Suite is the new name of M365 E5 Security
Defender Suite FLW is the new name of M365 F5 Security
</t>
        </r>
      </text>
    </comment>
    <comment ref="B128" authorId="0" shapeId="0" xr:uid="{D9E40EBE-4833-411A-B98E-35BDFD109CCE}">
      <text>
        <r>
          <rPr>
            <sz val="9"/>
            <color indexed="81"/>
            <rFont val="Tahoma"/>
            <charset val="1"/>
          </rPr>
          <t xml:space="preserve">Defender Suite is the new name of M365 E5 Security
Defender Suite FLW is the new name of M365 F5 Security
</t>
        </r>
      </text>
    </comment>
    <comment ref="B129" authorId="0" shapeId="0" xr:uid="{48D05BDD-23A1-4674-A734-CC414DCDE3B2}">
      <text>
        <r>
          <rPr>
            <sz val="9"/>
            <color indexed="81"/>
            <rFont val="Tahoma"/>
            <charset val="1"/>
          </rPr>
          <t xml:space="preserve">Defender Suite is the new name of M365 E5 Security
Defender Suite FLW is the new name of M365 F5 Security
</t>
        </r>
      </text>
    </comment>
    <comment ref="B130" authorId="0" shapeId="0" xr:uid="{1EBFF129-A039-493B-B75B-BA0DAA3F1D3F}">
      <text>
        <r>
          <rPr>
            <sz val="9"/>
            <color indexed="81"/>
            <rFont val="Tahoma"/>
            <charset val="1"/>
          </rPr>
          <t xml:space="preserve">Defender Suite is the new name of M365 E5 Security
Defender Suite FLW is the new name of M365 F5 Security
</t>
        </r>
      </text>
    </comment>
    <comment ref="B131" authorId="0" shapeId="0" xr:uid="{E1E505C6-5892-414B-99FD-FB97B9573E66}">
      <text>
        <r>
          <rPr>
            <sz val="9"/>
            <color indexed="81"/>
            <rFont val="Tahoma"/>
            <charset val="1"/>
          </rPr>
          <t xml:space="preserve">Defender Suite is the new name of M365 E5 Security
Defender Suite FLW is the new name of M365 F5 Security
</t>
        </r>
      </text>
    </comment>
    <comment ref="B134" authorId="0" shapeId="0" xr:uid="{79C7F190-0AD2-4994-8782-D19AFE25566F}">
      <text>
        <r>
          <rPr>
            <sz val="9"/>
            <color indexed="81"/>
            <rFont val="Tahoma"/>
            <charset val="1"/>
          </rPr>
          <t xml:space="preserve">Defender Suite is the new name of M365 E5 Security
Defender Suite FLW is the new name of M365 F5 Security
</t>
        </r>
      </text>
    </comment>
    <comment ref="A157" authorId="0" shapeId="0" xr:uid="{33EFE5BA-4EF9-48DF-B375-213608264536}">
      <text>
        <r>
          <rPr>
            <sz val="9"/>
            <color indexed="81"/>
            <rFont val="Tahoma"/>
            <family val="2"/>
          </rPr>
          <t xml:space="preserve">Deprecation of Application Gateway V1 was announced on April 28, 2023. If you use Application Gateway V1 SKU, start planning your migration to V2 now and complete your migration to Application Gateway v2 by April 28, 2026. The v1 service isn't supported after this date.
</t>
        </r>
      </text>
    </comment>
    <comment ref="B163" authorId="0" shapeId="0" xr:uid="{CF6DF4A4-B953-42A5-B92D-742BFBF04378}">
      <text>
        <r>
          <rPr>
            <sz val="9"/>
            <color indexed="81"/>
            <rFont val="Tahoma"/>
            <charset val="1"/>
          </rPr>
          <t xml:space="preserve">Defender Suite is the new name of M365 E5 Security
</t>
        </r>
      </text>
    </comment>
    <comment ref="B164" authorId="0" shapeId="0" xr:uid="{17D18D32-14EC-4C14-A040-371DBB1674F1}">
      <text>
        <r>
          <rPr>
            <sz val="9"/>
            <color indexed="81"/>
            <rFont val="Tahoma"/>
            <charset val="1"/>
          </rPr>
          <t xml:space="preserve">Defender Suite is the new name of M365 E5 Security
</t>
        </r>
      </text>
    </comment>
    <comment ref="B167" authorId="0" shapeId="0" xr:uid="{C7AD52D3-EE92-4113-85DE-8D70627995CA}">
      <text>
        <r>
          <rPr>
            <sz val="9"/>
            <color indexed="81"/>
            <rFont val="Tahoma"/>
            <charset val="1"/>
          </rPr>
          <t xml:space="preserve">Defender Suite is the new name of M365 E5 Security
</t>
        </r>
      </text>
    </comment>
    <comment ref="B176" authorId="0" shapeId="0" xr:uid="{32185173-DE71-458D-B25B-C75A422199E4}">
      <text>
        <r>
          <rPr>
            <sz val="9"/>
            <color indexed="81"/>
            <rFont val="Tahoma"/>
            <charset val="1"/>
          </rPr>
          <t xml:space="preserve">Defender Suite is the new name of M365 E5 Security
</t>
        </r>
      </text>
    </comment>
    <comment ref="B177" authorId="0" shapeId="0" xr:uid="{5B2E3C53-2483-41F7-BCF3-CFA1C38D3BA7}">
      <text>
        <r>
          <rPr>
            <sz val="9"/>
            <color indexed="81"/>
            <rFont val="Tahoma"/>
            <charset val="1"/>
          </rPr>
          <t>Defender Suite is the new name of M365 E5 Security
Purview Suite is the new name of M365 E5 Compliance
Defender Suite FLW is the new name of M365 F5 Security</t>
        </r>
      </text>
    </comment>
    <comment ref="B179" authorId="0" shapeId="0" xr:uid="{2645D82D-7BFB-4532-ABA4-847435B19C4A}">
      <text>
        <r>
          <rPr>
            <sz val="9"/>
            <color indexed="81"/>
            <rFont val="Tahoma"/>
            <charset val="1"/>
          </rPr>
          <t xml:space="preserve">Defender Suite is the new name of M365 E5 Security
</t>
        </r>
      </text>
    </comment>
    <comment ref="B180" authorId="0" shapeId="0" xr:uid="{BDCC8A21-B329-4536-AD26-40CB83A2B118}">
      <text>
        <r>
          <rPr>
            <sz val="9"/>
            <color indexed="81"/>
            <rFont val="Tahoma"/>
            <charset val="1"/>
          </rPr>
          <t>Microsoft Defender Threat Intelligence is no longer sold as a standalone SKU
Microsoft removed it from Product Terms on October 1, 2025
Existing customers retain access until retirement on August 1, 2026
Capabilities are being merged into Microsoft Defender XDR and Microsoft Sentinel</t>
        </r>
      </text>
    </comment>
    <comment ref="B183" authorId="0" shapeId="0" xr:uid="{F98D67DF-F468-47E8-9BEA-9F93DE6EFAD4}">
      <text>
        <r>
          <rPr>
            <sz val="9"/>
            <color indexed="81"/>
            <rFont val="Tahoma"/>
            <charset val="1"/>
          </rPr>
          <t>400 SCUs per month for every 1,000 E5 users
Scales up to 10,000 SCUs per tenant per month
No Azure setup or SCU provisioning required for included capacity</t>
        </r>
      </text>
    </comment>
    <comment ref="B189" authorId="0" shapeId="0" xr:uid="{5FCF8D42-F27B-41EF-B4D8-A147A6EA7E0F}">
      <text>
        <r>
          <rPr>
            <sz val="9"/>
            <color indexed="81"/>
            <rFont val="Tahoma"/>
            <charset val="1"/>
          </rPr>
          <t>Purview Suite is the new name of M365 E5 Compliance
Defender Suite FLW is the new name of M365 F5 Security</t>
        </r>
      </text>
    </comment>
    <comment ref="B190" authorId="0" shapeId="0" xr:uid="{AA7D7A12-0D0C-4A04-81B9-150B189D0219}">
      <text>
        <r>
          <rPr>
            <sz val="9"/>
            <color indexed="81"/>
            <rFont val="Tahoma"/>
            <charset val="1"/>
          </rPr>
          <t>Purview Suite is the new name of M365 E5 Compliance
Defender Suite FLW is the new name of M365 F5 Security</t>
        </r>
      </text>
    </comment>
    <comment ref="B191" authorId="0" shapeId="0" xr:uid="{0A42FF66-1883-4F8E-ACFA-A230C209F371}">
      <text>
        <r>
          <rPr>
            <sz val="9"/>
            <color indexed="81"/>
            <rFont val="Tahoma"/>
            <charset val="1"/>
          </rPr>
          <t>Purview Suite is the new name of M365 E5 Compliance
Defender Suite FLW is the new name of M365 F5 Security</t>
        </r>
      </text>
    </comment>
    <comment ref="B192" authorId="0" shapeId="0" xr:uid="{49FD0EFB-D52F-4D33-AA0D-99E7277FDFB4}">
      <text>
        <r>
          <rPr>
            <sz val="9"/>
            <color indexed="81"/>
            <rFont val="Tahoma"/>
            <family val="2"/>
          </rPr>
          <t xml:space="preserve">*Microsoft 365 E3 supports discovery of Cloud Apps only, this can be via log collectors or Defender for Endpoints (either P1 or P2)
</t>
        </r>
      </text>
    </comment>
    <comment ref="B194" authorId="0" shapeId="0" xr:uid="{0CA45F43-5BDE-434C-BDAA-07BF95D11233}">
      <text>
        <r>
          <rPr>
            <sz val="9"/>
            <color indexed="81"/>
            <rFont val="Tahoma"/>
            <charset val="1"/>
          </rPr>
          <t>Purview Suite is the new name of M365 E5 Compliance
Defender Suite FLW is the new name of M365 F5 Security</t>
        </r>
      </text>
    </comment>
    <comment ref="B195" authorId="0" shapeId="0" xr:uid="{490BB233-BECF-4168-B974-05A4DCB6940C}">
      <text>
        <r>
          <rPr>
            <sz val="9"/>
            <color indexed="81"/>
            <rFont val="Tahoma"/>
            <charset val="1"/>
          </rPr>
          <t>Purview Suite is the new name of M365 E5 Compliance
Defender Suite FLW is the new name of M365 F5 Security</t>
        </r>
      </text>
    </comment>
    <comment ref="B200" authorId="0" shapeId="0" xr:uid="{D5D39FA9-E0BE-409A-A656-F52F6B92527C}">
      <text>
        <r>
          <rPr>
            <sz val="9"/>
            <color indexed="81"/>
            <rFont val="Tahoma"/>
            <charset val="1"/>
          </rPr>
          <t>Purview Suite is the new name of M365 E5 Compliance
Defender Suite FLW is the new name of M365 F5 Security</t>
        </r>
      </text>
    </comment>
    <comment ref="B202" authorId="0" shapeId="0" xr:uid="{006259B4-E091-49E0-8DD4-035018539DB5}">
      <text>
        <r>
          <rPr>
            <sz val="9"/>
            <color indexed="81"/>
            <rFont val="Tahoma"/>
            <charset val="1"/>
          </rPr>
          <t>Purview Suite is the new name of M365 E5 Compliance
Defender Suite FLW is the new name of M365 F5 Security</t>
        </r>
      </text>
    </comment>
    <comment ref="X202" authorId="1" shapeId="0" xr:uid="{29FADC0F-8478-4F63-BC44-BE649A3BB3DC}">
      <text>
        <r>
          <rPr>
            <sz val="9"/>
            <color indexed="81"/>
            <rFont val="Tahoma"/>
            <family val="2"/>
          </rPr>
          <t>Scoping can only be done with Avanced Message Encryption, in F5/E5 Compliance. Under E3, branding will Tenant wide</t>
        </r>
      </text>
    </comment>
    <comment ref="B203" authorId="0" shapeId="0" xr:uid="{898C9A3E-7249-4DF1-8EB4-A42A0F27722C}">
      <text>
        <r>
          <rPr>
            <sz val="9"/>
            <color indexed="81"/>
            <rFont val="Tahoma"/>
            <charset val="1"/>
          </rPr>
          <t>Purview Suite is the new name of M365 E5 Compliance
Defender Suite FLW is the new name of M365 F5 Security</t>
        </r>
      </text>
    </comment>
    <comment ref="B204" authorId="0" shapeId="0" xr:uid="{3F960B76-E7D4-4C9A-A4AC-3470B405BFE4}">
      <text>
        <r>
          <rPr>
            <sz val="9"/>
            <color indexed="81"/>
            <rFont val="Tahoma"/>
            <charset val="1"/>
          </rPr>
          <t>Purview Suite is the new name of M365 E5 Compliance
Defender Suite FLW is the new name of M365 F5 Security</t>
        </r>
      </text>
    </comment>
    <comment ref="B205" authorId="0" shapeId="0" xr:uid="{E379755D-1F58-48E3-8137-1FA42A0A2332}">
      <text>
        <r>
          <rPr>
            <sz val="9"/>
            <color indexed="81"/>
            <rFont val="Tahoma"/>
            <charset val="1"/>
          </rPr>
          <t>Purview Suite is the new name of M365 E5 Compliance
Defender Suite FLW is the new name of M365 F5 Security</t>
        </r>
      </text>
    </comment>
    <comment ref="B206" authorId="0" shapeId="0" xr:uid="{032A7F5D-8FC6-4F1E-8578-BDB5641C402D}">
      <text>
        <r>
          <rPr>
            <sz val="9"/>
            <color indexed="81"/>
            <rFont val="Tahoma"/>
            <charset val="1"/>
          </rPr>
          <t>Purview Suite is the new name of M365 E5 Compliance
Defender Suite FLW is the new name of M365 F5 Security</t>
        </r>
      </text>
    </comment>
    <comment ref="B207" authorId="0" shapeId="0" xr:uid="{02233FA5-B1AB-4BC1-9B88-94282BB2DEA0}">
      <text>
        <r>
          <rPr>
            <sz val="9"/>
            <color indexed="81"/>
            <rFont val="Tahoma"/>
            <charset val="1"/>
          </rPr>
          <t>Purview Suite is the new name of M365 E5 Compliance
Defender Suite FLW is the new name of M365 F5 Security</t>
        </r>
      </text>
    </comment>
    <comment ref="B208" authorId="0" shapeId="0" xr:uid="{268025EB-4341-448F-AFA9-292959F2DC3B}">
      <text>
        <r>
          <rPr>
            <sz val="9"/>
            <color indexed="81"/>
            <rFont val="Tahoma"/>
            <charset val="1"/>
          </rPr>
          <t>Purview Suite is the new name of M365 E5 Compliance
Defender Suite FLW is the new name of M365 F5 Security</t>
        </r>
      </text>
    </comment>
    <comment ref="B213" authorId="0" shapeId="0" xr:uid="{AD91DF67-A21A-4C23-A1EA-3783CEE85914}">
      <text>
        <r>
          <rPr>
            <sz val="9"/>
            <color indexed="81"/>
            <rFont val="Tahoma"/>
            <family val="2"/>
          </rPr>
          <t xml:space="preserve">Microsoft 365 E3 and F3 supports manual application of retention labels only
</t>
        </r>
      </text>
    </comment>
    <comment ref="B214" authorId="0" shapeId="0" xr:uid="{D09EDDEE-0CF5-41A3-9FAF-621ECC7C594B}">
      <text>
        <r>
          <rPr>
            <sz val="9"/>
            <color indexed="81"/>
            <rFont val="Tahoma"/>
            <charset val="1"/>
          </rPr>
          <t>Purview Suite is the new name of M365 E5 Compliance
Defender Suite FLW is the new name of M365 F5 Security</t>
        </r>
      </text>
    </comment>
    <comment ref="B217" authorId="0" shapeId="0" xr:uid="{4D0D6A66-0211-400E-BA46-80CC520CE347}">
      <text>
        <r>
          <rPr>
            <sz val="9"/>
            <color indexed="81"/>
            <rFont val="Tahoma"/>
            <charset val="1"/>
          </rPr>
          <t>Purview Suite is the new name of M365 E5 Compliance
Defender Suite FLW is the new name of M365 F5 Security</t>
        </r>
      </text>
    </comment>
    <comment ref="B218" authorId="0" shapeId="0" xr:uid="{4BD58837-FAC3-4B24-886F-A71209F49379}">
      <text>
        <r>
          <rPr>
            <sz val="9"/>
            <color indexed="81"/>
            <rFont val="Tahoma"/>
            <charset val="1"/>
          </rPr>
          <t xml:space="preserve">Defender Suite is the new name of M365 E5 Security
Defender Suite FLW is the new name of M365 F5 Security
</t>
        </r>
      </text>
    </comment>
    <comment ref="B220" authorId="0" shapeId="0" xr:uid="{DE679EDC-439C-4155-BA91-677C4E4A55E0}">
      <text>
        <r>
          <rPr>
            <sz val="9"/>
            <color indexed="81"/>
            <rFont val="Tahoma"/>
            <charset val="1"/>
          </rPr>
          <t>Purview Suite is the new name of M365 E5 Compliance
Defender Suite FLW is the new name of M365 F5 Security</t>
        </r>
      </text>
    </comment>
    <comment ref="B225" authorId="0" shapeId="0" xr:uid="{114D17A0-8B22-4736-AFF1-FB86A93683FE}">
      <text>
        <r>
          <rPr>
            <sz val="9"/>
            <color indexed="81"/>
            <rFont val="Tahoma"/>
            <charset val="1"/>
          </rPr>
          <t>E3 enables baseline governance (oversharing detection, site access reviews)
Purview Suite is required for AI‑specific protections, DSPM for AI, advanced DLP, and compliance enforcement.</t>
        </r>
      </text>
    </comment>
    <comment ref="B226" authorId="0" shapeId="0" xr:uid="{2DDA0D33-86B1-4E64-84C7-B350188B6808}">
      <text>
        <r>
          <rPr>
            <sz val="9"/>
            <color indexed="81"/>
            <rFont val="Tahoma"/>
            <charset val="1"/>
          </rPr>
          <t xml:space="preserve">Defender Suite is the new name of M365 E5 Security
</t>
        </r>
      </text>
    </comment>
    <comment ref="B227" authorId="0" shapeId="0" xr:uid="{E978A0FE-F03F-4B25-87E9-24DDF1B0F2C0}">
      <text>
        <r>
          <rPr>
            <sz val="9"/>
            <color indexed="81"/>
            <rFont val="Tahoma"/>
            <charset val="1"/>
          </rPr>
          <t>E5 customers receive included monthly SCU capacity.
Non‑E5 tenants must provision Security Compute Units (SCUs) in Azure.</t>
        </r>
      </text>
    </comment>
    <comment ref="B228" authorId="0" shapeId="0" xr:uid="{80158BE8-F326-4389-8C74-60102BFB1397}">
      <text>
        <r>
          <rPr>
            <sz val="9"/>
            <color indexed="81"/>
            <rFont val="Tahoma"/>
            <charset val="1"/>
          </rPr>
          <t>Purview governs data exposure and compliance across AI interactions  
Defender provides security telemetry and behavioral insight.
Together enable governed, monitored agent operations; not required for deployment, but essential for control at scale.</t>
        </r>
      </text>
    </comment>
    <comment ref="B229" authorId="0" shapeId="0" xr:uid="{67625A0E-FE1A-4DD3-AD94-E7C7066A5E57}">
      <text>
        <r>
          <rPr>
            <sz val="9"/>
            <color indexed="81"/>
            <rFont val="Tahoma"/>
            <charset val="1"/>
          </rPr>
          <t>Entra governs who agents are and what they can access.
Agent governance governs what agents do, how they behave, and how they interact with data.</t>
        </r>
      </text>
    </comment>
    <comment ref="B233" authorId="0" shapeId="0" xr:uid="{C7E0E451-584E-4A5A-B2DF-DFD0BEF0BD5F}">
      <text>
        <r>
          <rPr>
            <sz val="9"/>
            <color indexed="81"/>
            <rFont val="Tahoma"/>
            <family val="2"/>
          </rPr>
          <t>Data Protection Baseline assessment. Assessments beyond the baseline will require E5 compliance or full E5</t>
        </r>
      </text>
    </comment>
    <comment ref="B234" authorId="0" shapeId="0" xr:uid="{6C9D7EDA-64E6-42CB-8898-234FAE91BFD4}">
      <text>
        <r>
          <rPr>
            <sz val="9"/>
            <color indexed="81"/>
            <rFont val="Tahoma"/>
            <charset val="1"/>
          </rPr>
          <t>Purview Suite is the new name of M365 E5 Compliance
Defender Suite FLW is the new name of M365 F5 Security</t>
        </r>
      </text>
    </comment>
    <comment ref="B238" authorId="0" shapeId="0" xr:uid="{08D73AEF-7CAE-4170-AD9B-9A9B0D75828B}">
      <text>
        <r>
          <rPr>
            <sz val="9"/>
            <color indexed="81"/>
            <rFont val="Tahoma"/>
            <charset val="1"/>
          </rPr>
          <t>Purview Suite is the new name of M365 E5 Compliance
Defender Suite FLW is the new name of M365 F5 Security</t>
        </r>
      </text>
    </comment>
    <comment ref="B239" authorId="0" shapeId="0" xr:uid="{54E281F8-FF81-4E37-AACE-FF7D2E82D455}">
      <text>
        <r>
          <rPr>
            <sz val="9"/>
            <color indexed="81"/>
            <rFont val="Tahoma"/>
            <charset val="1"/>
          </rPr>
          <t>Purview Suite is the new name of M365 E5 Compliance
Defender Suite FLW is the new name of M365 F5 Security</t>
        </r>
      </text>
    </comment>
    <comment ref="B240" authorId="0" shapeId="0" xr:uid="{3DFFAD60-8B5D-4631-A992-9157510F0B66}">
      <text>
        <r>
          <rPr>
            <sz val="9"/>
            <color indexed="81"/>
            <rFont val="Tahoma"/>
            <charset val="1"/>
          </rPr>
          <t>Purview Suite is the new name of M365 E5 Compliance
Defender Suite FLW is the new name of M365 F5 Security</t>
        </r>
      </text>
    </comment>
    <comment ref="B241" authorId="0" shapeId="0" xr:uid="{1B50C1B7-0F62-4856-ABAA-8DA777FD50DD}">
      <text>
        <r>
          <rPr>
            <sz val="9"/>
            <color indexed="81"/>
            <rFont val="Tahoma"/>
            <charset val="1"/>
          </rPr>
          <t>Purview Suite is the new name of M365 E5 Compliance
Defender Suite FLW is the new name of M365 F5 Security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Howett</author>
  </authors>
  <commentList>
    <comment ref="A1" authorId="0" shapeId="0" xr:uid="{AEAF81F0-AC65-4405-8E92-F53C16670FD5}">
      <text>
        <r>
          <rPr>
            <sz val="9"/>
            <color indexed="81"/>
            <rFont val="Tahoma"/>
            <family val="2"/>
          </rPr>
          <t>List of products or features in the Microsoft Security stack. Please click on a feature to link to Microsoft documentation on deployment/implementation guidance</t>
        </r>
      </text>
    </comment>
    <comment ref="A23" authorId="0" shapeId="0" xr:uid="{AAE9CC47-B5EB-4FA4-9DBB-BB4CA7958471}">
      <text>
        <r>
          <rPr>
            <sz val="9"/>
            <color indexed="81"/>
            <rFont val="Tahoma"/>
            <family val="2"/>
          </rPr>
          <t>After May 8, 2023, when number matching is enabled for all users, anyone who performs a RADIUS connection with NPS extension version 1.2.2216.1 or later will be prompted to sign in with a TOTP method instead. Users must have a TOTP authentication method registered to see this behavior. Without a TOTP method registered, users continue to see Approve/Deny.</t>
        </r>
      </text>
    </comment>
    <comment ref="A89" authorId="0" shapeId="0" xr:uid="{790194EA-B406-4A3D-B80D-0F85236335BE}">
      <text>
        <r>
          <rPr>
            <sz val="9"/>
            <color indexed="81"/>
            <rFont val="Tahoma"/>
            <family val="2"/>
          </rPr>
          <t>Example specialty devices include Augmented Reality headsets, large smart-screen devices, and conference room devices</t>
        </r>
      </text>
    </comment>
    <comment ref="A91" authorId="0" shapeId="0" xr:uid="{774B0ED7-F7A7-4EDF-A15D-98D0294FECD2}">
      <text>
        <r>
          <rPr>
            <sz val="9"/>
            <color indexed="81"/>
            <rFont val="Tahoma"/>
            <family val="2"/>
          </rPr>
          <t xml:space="preserve">Intune Suite is a bolt on to Intune Plan 1 and also includes all Intune P2 functionality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 Howett</author>
  </authors>
  <commentList>
    <comment ref="A1" authorId="0" shapeId="0" xr:uid="{9B314A02-C641-4739-9F58-DF69F907B4AA}">
      <text>
        <r>
          <rPr>
            <sz val="9"/>
            <color indexed="81"/>
            <rFont val="Tahoma"/>
            <family val="2"/>
          </rPr>
          <t>List of products or features in the Microsoft Security stack. Please click on a feature to link to Microsoft documentation on deployment/implementation guidance</t>
        </r>
      </text>
    </comment>
    <comment ref="B1" authorId="0" shapeId="0" xr:uid="{357D6C0A-E0A6-4C77-AF7A-F4D772979097}">
      <text>
        <r>
          <rPr>
            <sz val="9"/>
            <color indexed="81"/>
            <rFont val="Tahoma"/>
            <family val="2"/>
          </rPr>
          <t>High level license. Please filter this column for the specific licenses you wish to work with.</t>
        </r>
      </text>
    </comment>
    <comment ref="C1" authorId="0" shapeId="0" xr:uid="{23687CD9-FCC1-45E3-9BE1-9A22D8E650CF}">
      <text>
        <r>
          <rPr>
            <sz val="9"/>
            <color indexed="81"/>
            <rFont val="Tahoma"/>
            <family val="2"/>
          </rPr>
          <t>This column is to help filter this spreadsheet
"__" = main heading
"_" = Subheading
"Product" = Full licensed product
"Feature" = a feature of a product
"Configuration" = specific configuration of a feature or product, such as a good practice
"Suggestion" = A suggested change that can improve your security posture or reduce workload
"Process" = a possible process for your organisation to adopt, may not be a direct technical change or could be an internal (governance) process
"Consideration" = possible services to implement that may or may not be covered in a license and does not match any category above</t>
        </r>
      </text>
    </comment>
    <comment ref="D1" authorId="0" shapeId="0" xr:uid="{53DA3230-45A9-45C5-99B2-2E871EAB76C8}">
      <text>
        <r>
          <rPr>
            <sz val="9"/>
            <color indexed="81"/>
            <rFont val="Tahoma"/>
            <family val="2"/>
          </rPr>
          <t>Numbers refer to row number of technology or feature that should be implemented before to obtain 
maximum value from current row</t>
        </r>
      </text>
    </comment>
    <comment ref="E1" authorId="0" shapeId="0" xr:uid="{CE9CFF0A-99D4-48BD-80B8-296383B6D03D}">
      <text>
        <r>
          <rPr>
            <sz val="9"/>
            <color indexed="81"/>
            <rFont val="Tahoma"/>
            <family val="2"/>
          </rPr>
          <t>To be filled in. Typically, a priority of 1 to 4 is used:
1) High Priority
2) Medium Priority
3) Low Priority
4) Lowest priority, get there when you get there.
D) Deployed (please mark RAG status in Blue)
W) Work in Progress (What you are currently deploying
*Priority should be relative to the listed technologies, not other projects.</t>
        </r>
      </text>
    </comment>
    <comment ref="F1" authorId="0" shapeId="0" xr:uid="{0C73C922-FFB6-4855-9DED-D8A830E28787}">
      <text>
        <r>
          <rPr>
            <sz val="9"/>
            <color indexed="81"/>
            <rFont val="Tahoma"/>
            <family val="2"/>
          </rPr>
          <t>This references the planning stages, such as understanding the work that is going to be carried out, understanding the impact on the business, documentation, high and/or low level designs. This can also include defining pilot groups and users and running proof of concepts.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G1" authorId="0" shapeId="0" xr:uid="{919206C3-008F-4E06-A3BA-2A9AAF2575FC}">
      <text>
        <r>
          <rPr>
            <sz val="9"/>
            <color indexed="81"/>
            <rFont val="Tahoma"/>
            <family val="2"/>
          </rPr>
          <t>This references the changes made to production environments before these changes impact the end users. This can include testing and production pilots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H1" authorId="0" shapeId="0" xr:uid="{865CC496-70A3-4DBE-B831-A15E1639A083}">
      <text>
        <r>
          <rPr>
            <sz val="9"/>
            <color indexed="81"/>
            <rFont val="Tahoma"/>
            <family val="2"/>
          </rPr>
          <t>This refences the role out to all relevant production users. In short, the end users (where applicable) would benefit from the changes being made. Wherever users are involved in deployment, such as enrolling into MFA, the time is automatically red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I1" authorId="0" shapeId="0" xr:uid="{BF77F90E-4B0A-4B15-9013-758161A524B5}">
      <text>
        <r>
          <rPr>
            <sz val="9"/>
            <color indexed="81"/>
            <rFont val="Tahoma"/>
            <family val="2"/>
          </rPr>
          <t>Represents the impact on the end user and they operate day to day
Colours represent impact:
Green = Little or no change
Amber = A new process (such as MFA)
Red = A new way of working
Black - Non technical change, such as a suggestion or process</t>
        </r>
      </text>
    </comment>
    <comment ref="J1" authorId="0" shapeId="0" xr:uid="{EB675DBF-9A4B-46E6-B53D-4D8F17590262}">
      <text>
        <r>
          <rPr>
            <sz val="9"/>
            <color indexed="81"/>
            <rFont val="Tahoma"/>
            <family val="2"/>
          </rPr>
          <t xml:space="preserve">For any notes or comments discussed during workshop
</t>
        </r>
      </text>
    </comment>
    <comment ref="K1" authorId="0" shapeId="0" xr:uid="{3C85B955-8A37-4527-BFCA-D6B462034C1B}">
      <text>
        <r>
          <rPr>
            <b/>
            <sz val="9"/>
            <color indexed="81"/>
            <rFont val="Tahoma"/>
            <family val="2"/>
          </rPr>
          <t xml:space="preserve">Deployment Resource:
</t>
        </r>
        <r>
          <rPr>
            <sz val="9"/>
            <color indexed="81"/>
            <rFont val="Tahoma"/>
            <family val="2"/>
          </rPr>
          <t xml:space="preserve">Account team (education on solutions)
FastTrack
Unified Support (including DSE)
ISD (MCS)
CSA
Partner
Self (customer resources only)
Please use this column to help determine cost of change
</t>
        </r>
      </text>
    </comment>
    <comment ref="P1" authorId="0" shapeId="0" xr:uid="{872E5B21-8EA8-4A56-B52C-8D771D26B886}">
      <text>
        <r>
          <rPr>
            <sz val="9"/>
            <color indexed="81"/>
            <rFont val="Tahoma"/>
            <family val="2"/>
          </rPr>
          <t>List any existing third party products that have the same functionality. This can help determine cost take outs and faster ROI on Microsoft security products</t>
        </r>
      </text>
    </comment>
    <comment ref="Q1" authorId="0" shapeId="0" xr:uid="{2A25F013-B066-4274-BA00-80BF2B6E22E9}">
      <text>
        <r>
          <rPr>
            <sz val="9"/>
            <color indexed="81"/>
            <rFont val="Tahoma"/>
            <family val="2"/>
          </rPr>
          <t>Contract end date of third party product listed in column N. This can help determine priority order of Microsoft product</t>
        </r>
      </text>
    </comment>
    <comment ref="T1" authorId="0" shapeId="0" xr:uid="{F22A166D-5101-4C08-B5DC-8E01325AC1BC}">
      <text>
        <r>
          <rPr>
            <sz val="9"/>
            <color indexed="81"/>
            <rFont val="Tahoma"/>
            <family val="2"/>
          </rPr>
          <t>Details the type of resource from the customer side that is typically involved in the deployment of the technology product or feature. These are only estimates and may not align to your organisations (i.e., you may be more granular or more broad).
Understanding the resourcing required should help in defining priorities and support that is required. This has been provided for information purposes only and should help you make an informed decision</t>
        </r>
      </text>
    </comment>
    <comment ref="W1" authorId="0" shapeId="0" xr:uid="{CD0F65F4-C487-4E52-803D-E9246FE232C8}">
      <text>
        <r>
          <rPr>
            <sz val="9"/>
            <color indexed="81"/>
            <rFont val="Tahoma"/>
            <family val="2"/>
          </rPr>
          <t xml:space="preserve">Determines the level of control and visibility a specific organisation would have in a multi-org tenant
</t>
        </r>
        <r>
          <rPr>
            <b/>
            <sz val="9"/>
            <color indexed="81"/>
            <rFont val="Tahoma"/>
            <family val="2"/>
          </rPr>
          <t>Organisation Specific</t>
        </r>
        <r>
          <rPr>
            <sz val="9"/>
            <color indexed="81"/>
            <rFont val="Tahoma"/>
            <family val="2"/>
          </rPr>
          <t xml:space="preserve"> - Controls can be limited to specific organisations and only visible to that org (excl. wider permissions) - i.e. One can org and view and manage their users/devices without anyone else, but a overarching support service can manage devices in multiple organisations
</t>
        </r>
        <r>
          <rPr>
            <b/>
            <sz val="9"/>
            <color indexed="81"/>
            <rFont val="Tahoma"/>
            <family val="2"/>
          </rPr>
          <t>Scoped</t>
        </r>
        <r>
          <rPr>
            <sz val="9"/>
            <color indexed="81"/>
            <rFont val="Tahoma"/>
            <family val="2"/>
          </rPr>
          <t xml:space="preserve"> - Configured controls are visible to all respective admins in the tenant but the control can be limited to specific organisations - i.e., all sensitivity labels can be viewed by admins but deployed to end users in specific  orgs by policy
</t>
        </r>
        <r>
          <rPr>
            <b/>
            <sz val="9"/>
            <color indexed="81"/>
            <rFont val="Tahoma"/>
            <family val="2"/>
          </rPr>
          <t xml:space="preserve">Tenant Wide </t>
        </r>
        <r>
          <rPr>
            <sz val="9"/>
            <color indexed="81"/>
            <rFont val="Tahoma"/>
            <family val="2"/>
          </rPr>
          <t xml:space="preserve">- These controls cannot be limited to specific organisations - i.e., Safe Documents is turned on in a global policy
</t>
        </r>
        <r>
          <rPr>
            <b/>
            <sz val="9"/>
            <color indexed="81"/>
            <rFont val="Tahoma"/>
            <family val="2"/>
          </rPr>
          <t xml:space="preserve">Tenant Wide, Scoped controls </t>
        </r>
        <r>
          <rPr>
            <sz val="9"/>
            <color indexed="81"/>
            <rFont val="Tahoma"/>
            <family val="2"/>
          </rPr>
          <t>- These are services that cannot be limited to any onboarded organisation by and org can be excluded by not onboard - i.e., Defender for Endpoint is tenant wide but if the agent is not deployed to a specific domain, it can effectively be out of scope</t>
        </r>
      </text>
    </comment>
    <comment ref="B9" authorId="0" shapeId="0" xr:uid="{17CD787A-426F-4699-9FEB-298D296C430D}">
      <text>
        <r>
          <rPr>
            <sz val="9"/>
            <color indexed="81"/>
            <rFont val="Tahoma"/>
            <family val="2"/>
          </rPr>
          <t>Whiteboard is a free app and can be used standalone. It also integrates into Teams and OneDrive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<sst xmlns="http://schemas.openxmlformats.org/spreadsheetml/2006/main" count="6171" uniqueCount="1538">
  <si>
    <t>Additional Configuration</t>
  </si>
  <si>
    <t>Please select your language:</t>
  </si>
  <si>
    <t>EN-GB</t>
  </si>
  <si>
    <t>Green represents value your are getting from the respective area of techology. It is the combination of what is currently deployed or being deployed (Work in Progress)</t>
  </si>
  <si>
    <r>
      <t>Overall view of all technologies</t>
    </r>
    <r>
      <rPr>
        <i/>
        <sz val="11"/>
        <color theme="1"/>
        <rFont val="Calibri"/>
        <family val="2"/>
        <scheme val="minor"/>
      </rPr>
      <t xml:space="preserve"> (Please note: These include all products and features and exclude configurations, considerations, suggestions and processes)</t>
    </r>
  </si>
  <si>
    <t>Overvalue of all Technologies</t>
  </si>
  <si>
    <t>E3 Current Value</t>
  </si>
  <si>
    <t>E5 Current Value</t>
  </si>
  <si>
    <t>Azure Current Value</t>
  </si>
  <si>
    <t>Realising Value</t>
  </si>
  <si>
    <t>Realising value from E3</t>
  </si>
  <si>
    <t>Realised Value from E5</t>
  </si>
  <si>
    <t>Realising value from Azure Security</t>
  </si>
  <si>
    <t>Desired Technologies</t>
  </si>
  <si>
    <t>Desired E3 Technologies</t>
  </si>
  <si>
    <t>Desired E5 Tech</t>
  </si>
  <si>
    <t>Desired Azure Security Technologies</t>
  </si>
  <si>
    <t>No Intent or not yet assessed</t>
  </si>
  <si>
    <t>Not assessed or superceed by E5</t>
  </si>
  <si>
    <t>Not yet assessed or no intent to deploy</t>
  </si>
  <si>
    <t>No intent or not yet assessed</t>
  </si>
  <si>
    <t>E3</t>
  </si>
  <si>
    <t>E5</t>
  </si>
  <si>
    <t>Azure</t>
  </si>
  <si>
    <r>
      <t xml:space="preserve">View of Microsoft 365 E5 Technologies </t>
    </r>
    <r>
      <rPr>
        <i/>
        <sz val="11"/>
        <color theme="1"/>
        <rFont val="Calibri"/>
        <family val="2"/>
        <scheme val="minor"/>
      </rPr>
      <t>(This section shows the current and desired value from all M365 E5 products features)</t>
    </r>
  </si>
  <si>
    <t>M365 E5 Core Products</t>
  </si>
  <si>
    <t>M365 E5 Deeper Product Features</t>
  </si>
  <si>
    <r>
      <rPr>
        <b/>
        <sz val="11"/>
        <color theme="1"/>
        <rFont val="Calibri"/>
        <family val="2"/>
        <scheme val="minor"/>
      </rPr>
      <t>Core Products:</t>
    </r>
    <r>
      <rPr>
        <sz val="11"/>
        <color theme="1"/>
        <rFont val="Calibri"/>
        <family val="2"/>
        <scheme val="minor"/>
      </rPr>
      <t xml:space="preserve"> These are the individual full products within the respective license</t>
    </r>
  </si>
  <si>
    <t>Realised value</t>
  </si>
  <si>
    <t>Desired Features</t>
  </si>
  <si>
    <r>
      <rPr>
        <b/>
        <sz val="11"/>
        <color theme="1"/>
        <rFont val="Calibri"/>
        <family val="2"/>
        <scheme val="minor"/>
      </rPr>
      <t>Deeper Product Features:</t>
    </r>
    <r>
      <rPr>
        <sz val="11"/>
        <color theme="1"/>
        <rFont val="Calibri"/>
        <family val="2"/>
        <scheme val="minor"/>
      </rPr>
      <t xml:space="preserve"> These are call out features within a product</t>
    </r>
  </si>
  <si>
    <t>Not assessed or no value</t>
  </si>
  <si>
    <r>
      <rPr>
        <b/>
        <sz val="11"/>
        <color theme="1"/>
        <rFont val="Calibri"/>
        <family val="2"/>
        <scheme val="minor"/>
      </rPr>
      <t>Optional Configuration:</t>
    </r>
    <r>
      <rPr>
        <sz val="11"/>
        <color theme="1"/>
        <rFont val="Calibri"/>
        <family val="2"/>
        <scheme val="minor"/>
      </rPr>
      <t xml:space="preserve"> These are recommended configurations, considerations, suggestions and process that align to best practices</t>
    </r>
  </si>
  <si>
    <r>
      <t>Break down E5 Security and Compliance SKUs</t>
    </r>
    <r>
      <rPr>
        <i/>
        <sz val="11"/>
        <color theme="1"/>
        <rFont val="Calibri"/>
        <family val="2"/>
        <scheme val="minor"/>
      </rPr>
      <t xml:space="preserve"> (This sections breaks down the M365 E5 features into E5 Security and E5 Compliance)</t>
    </r>
  </si>
  <si>
    <t>M365 E5 Security Core Products</t>
  </si>
  <si>
    <t>M365 E5 Security Deeper Product Features</t>
  </si>
  <si>
    <t>M365 E5 Compliance Core Products</t>
  </si>
  <si>
    <t>M365 E5 Compliance Deeper Product Features</t>
  </si>
  <si>
    <t>E3 Products</t>
  </si>
  <si>
    <t>E3 Features</t>
  </si>
  <si>
    <t>E3 Optional Configurations</t>
  </si>
  <si>
    <t>Current State and Priorites of Solution Areas</t>
  </si>
  <si>
    <t>Identity</t>
  </si>
  <si>
    <t>Endpoints</t>
  </si>
  <si>
    <t>Threat Protection</t>
  </si>
  <si>
    <t>Complaince</t>
  </si>
  <si>
    <t>Deployed</t>
  </si>
  <si>
    <t>Work in Progress</t>
  </si>
  <si>
    <t>High Priority</t>
  </si>
  <si>
    <t>Medium Priority</t>
  </si>
  <si>
    <t>Low Priority</t>
  </si>
  <si>
    <t>No intent</t>
  </si>
  <si>
    <t>Blue areas represent the deployed technologies for that solution area, this where you organisation has realised value</t>
  </si>
  <si>
    <t>Cost of Deployment and Change</t>
  </si>
  <si>
    <t>-</t>
  </si>
  <si>
    <t>Self</t>
  </si>
  <si>
    <t>FastTrack</t>
  </si>
  <si>
    <t>Unified Engagements</t>
  </si>
  <si>
    <t>CSA</t>
  </si>
  <si>
    <t>ISD (MCS)</t>
  </si>
  <si>
    <t>Partner</t>
  </si>
  <si>
    <t>Account Team</t>
  </si>
  <si>
    <t>Blue areas are where Unified Support can be engaged, this can be through proactive engagements or through the use of a Dedicated Service Engineer (DSE). Your CSAM will be able to advise on this</t>
  </si>
  <si>
    <t>Amber areas show where partners have been recommended. This maybe for more complex areas where professional services maybe required. These will be at additional costs*</t>
  </si>
  <si>
    <t>*Costs will be subject to agreement with your chosen partner</t>
  </si>
  <si>
    <t>LEGEND:</t>
  </si>
  <si>
    <t xml:space="preserve">   E3 technologies</t>
  </si>
  <si>
    <t xml:space="preserve">   E5 Technologies</t>
  </si>
  <si>
    <t xml:space="preserve">   Azure Subscription</t>
  </si>
  <si>
    <t xml:space="preserve">   Standalone Licensing</t>
  </si>
  <si>
    <t xml:space="preserve">   Priority TBC</t>
  </si>
  <si>
    <t xml:space="preserve">   Deployed</t>
  </si>
  <si>
    <t xml:space="preserve">   Work in Progress</t>
  </si>
  <si>
    <t xml:space="preserve">   High Priority</t>
  </si>
  <si>
    <t xml:space="preserve">   Medium Priority</t>
  </si>
  <si>
    <t xml:space="preserve">   Low Priority</t>
  </si>
  <si>
    <t xml:space="preserve">   No intent to deploy</t>
  </si>
  <si>
    <t>Identity and access management</t>
  </si>
  <si>
    <t>Compliance and Governance</t>
  </si>
  <si>
    <t>Technical Maturity</t>
  </si>
  <si>
    <t>Advanced State</t>
  </si>
  <si>
    <t>Microsoft Defender Application Control</t>
  </si>
  <si>
    <t>Web Content Filtering (MDE-MDCA)</t>
  </si>
  <si>
    <t>Microsoft Sentinel</t>
  </si>
  <si>
    <t>MDC - Microsoft Defender for Servers (P2)</t>
  </si>
  <si>
    <t>Microsoft Priva</t>
  </si>
  <si>
    <t>MDCA: Session Controls</t>
  </si>
  <si>
    <t>Windows AutoPatch</t>
  </si>
  <si>
    <t>Windows 365</t>
  </si>
  <si>
    <t>MDC - Microsoft Defender for Storage</t>
  </si>
  <si>
    <t>MDC - Microsoft Defender for SQL</t>
  </si>
  <si>
    <t>Microsoft Purview Data Mapping</t>
  </si>
  <si>
    <t>Microsoft Purview Data Connectors</t>
  </si>
  <si>
    <t>Privilege Identity Management</t>
  </si>
  <si>
    <t>Privileged Access Management (Exchange)</t>
  </si>
  <si>
    <t>Advanced Endpoint Analytics</t>
  </si>
  <si>
    <t>Endpoint Privilege Management</t>
  </si>
  <si>
    <t>MDC - Microsoft Defender for Containers</t>
  </si>
  <si>
    <t>Microsoft Purview Insider Risk Management</t>
  </si>
  <si>
    <t>MDC - Microsoft Defender for Resource Manager</t>
  </si>
  <si>
    <t>MDC - Microsoft Defender for DNS</t>
  </si>
  <si>
    <t>Trainable Classifers</t>
  </si>
  <si>
    <t>Exact Data Match</t>
  </si>
  <si>
    <t>MDC - Microsoft Defender for App Service</t>
  </si>
  <si>
    <t>MDC - Microsoft Defender for Open Source DBs</t>
  </si>
  <si>
    <t>Microsoft Purview Audit (Premium)</t>
  </si>
  <si>
    <t>Microsoft Purview Double Key Encryption</t>
  </si>
  <si>
    <t>MDC - Microsoft Defender for IoT</t>
  </si>
  <si>
    <t>MDC - Microsoft Defender for DevOps</t>
  </si>
  <si>
    <t xml:space="preserve"> </t>
  </si>
  <si>
    <t>Microsoft Defender for Cloud Apps (Data Governance)</t>
  </si>
  <si>
    <t>Microsoft Purview Customer Key</t>
  </si>
  <si>
    <t>Azure Firewall</t>
  </si>
  <si>
    <t>Azure Web Application Firewall</t>
  </si>
  <si>
    <t>Microsoft Defender Threat Intelligence</t>
  </si>
  <si>
    <t>Azure Front Door</t>
  </si>
  <si>
    <t>Safe Documents</t>
  </si>
  <si>
    <t>Microsoft Defender External Attack Surface Management</t>
  </si>
  <si>
    <t>Medium State</t>
  </si>
  <si>
    <t>Risk Sign-ins monitoring</t>
  </si>
  <si>
    <t>Microsoft Tunnel</t>
  </si>
  <si>
    <t>Intune Tunnel for MAM</t>
  </si>
  <si>
    <t>Microsoft Threat Experts</t>
  </si>
  <si>
    <t>Microsoft Purview Customer Lockbox</t>
  </si>
  <si>
    <t>Microsoft Purview eDiscovery (Premium)</t>
  </si>
  <si>
    <t>ConfigMgr Co-Management Config</t>
  </si>
  <si>
    <t>Management of Specialty Devices</t>
  </si>
  <si>
    <t>Defender for Identity</t>
  </si>
  <si>
    <t>Microsoft Defender for Cloud Apps (Threat)</t>
  </si>
  <si>
    <t>Endpoint DLP</t>
  </si>
  <si>
    <t>Self Service Group Management</t>
  </si>
  <si>
    <t>Update ConfigMgr to Current Branch</t>
  </si>
  <si>
    <t>Microsoft Defender Exploit Guard (ASR)</t>
  </si>
  <si>
    <t>Defender for Office 365</t>
  </si>
  <si>
    <t>Microsoft Purview Records Management</t>
  </si>
  <si>
    <t>On-premises DLP</t>
  </si>
  <si>
    <t>HR System Integration</t>
  </si>
  <si>
    <t>Enable MFA for On-prem services (RADIUS)</t>
  </si>
  <si>
    <t>Microsoft Defender Application Guard (Edge)</t>
  </si>
  <si>
    <t>ConfigMgr -Cloud Management Gateway</t>
  </si>
  <si>
    <t>MDE for iOS</t>
  </si>
  <si>
    <t>Attack Simulator v2</t>
  </si>
  <si>
    <t>Teams Data Loss Prevention</t>
  </si>
  <si>
    <t>Dynamic User Groups</t>
  </si>
  <si>
    <t>CA: Continuous Access Evaluation</t>
  </si>
  <si>
    <t>BYOD - Intune Categories</t>
  </si>
  <si>
    <t>BYOD: MDM Config (iOS Android)</t>
  </si>
  <si>
    <t>MDE for Windows Desktops</t>
  </si>
  <si>
    <t>MDE for Android</t>
  </si>
  <si>
    <t>Microsoft Purview Compliance Manager</t>
  </si>
  <si>
    <t>Conditional Access Policies</t>
  </si>
  <si>
    <t>Process - Assess Secure Score</t>
  </si>
  <si>
    <t>BYOD: MAM Polices - Mobile OS</t>
  </si>
  <si>
    <t>Process - Migrate Apps to Intune</t>
  </si>
  <si>
    <t>MDE policy configuration</t>
  </si>
  <si>
    <t>MDE for Mac OS</t>
  </si>
  <si>
    <t>Azure Monitor</t>
  </si>
  <si>
    <t>Office Message Encryption</t>
  </si>
  <si>
    <t>CA: Authentication Strength</t>
  </si>
  <si>
    <t>Windows Hello</t>
  </si>
  <si>
    <t>Remote Help</t>
  </si>
  <si>
    <t>Azure Arc deployment</t>
  </si>
  <si>
    <t>Defender for Cloud CSPM</t>
  </si>
  <si>
    <t>Azure Policy</t>
  </si>
  <si>
    <t>Endpoint Analytics</t>
  </si>
  <si>
    <t>Autopilot Configuration</t>
  </si>
  <si>
    <t>Azure Bastion</t>
  </si>
  <si>
    <t>Azure DDoS Protection</t>
  </si>
  <si>
    <t>Base State</t>
  </si>
  <si>
    <t>Windows 10/11 Deployment</t>
  </si>
  <si>
    <t>Exchange Online Protection</t>
  </si>
  <si>
    <t>Microsoft Purview Information Protection: Manual Labelling</t>
  </si>
  <si>
    <t>Microsoft Defender Credential Guard</t>
  </si>
  <si>
    <t>Microsoft Defender System Guard</t>
  </si>
  <si>
    <t>Office 365 Antimalware Configuration</t>
  </si>
  <si>
    <t>Secure External Mailflow (TSL, DKIM, DMARC, SPF)</t>
  </si>
  <si>
    <t>Microsoft Purview Data Loss Prevention</t>
  </si>
  <si>
    <t>Microsoft Purview eDiscovery (Standard)</t>
  </si>
  <si>
    <t>Disable Accounts not used in last 30 days</t>
  </si>
  <si>
    <t>Windows Firewall</t>
  </si>
  <si>
    <t>BitLocker</t>
  </si>
  <si>
    <t>Do not allow anonymous calendar sharing</t>
  </si>
  <si>
    <t>Block Client forwarding rules</t>
  </si>
  <si>
    <t>Microsoft Purview Data Liftcycle Management</t>
  </si>
  <si>
    <t>Configure Application Consent for Data Access</t>
  </si>
  <si>
    <t>Corp: MAM Polices - Mobile OS</t>
  </si>
  <si>
    <t>Corp: MDM Config (iOS Android)</t>
  </si>
  <si>
    <t>Transport rules: Block known ransomware files</t>
  </si>
  <si>
    <t>Configure Teams External Access (Federation)</t>
  </si>
  <si>
    <t>Define Sensitive Information Types</t>
  </si>
  <si>
    <t>Base Line Compliance Policies</t>
  </si>
  <si>
    <t>Corp: MDM Polices - Desktop OS</t>
  </si>
  <si>
    <t>Configure Teams Guest Access</t>
  </si>
  <si>
    <t>Process - Define Classification Schema</t>
  </si>
  <si>
    <t>Identity Object Remediation</t>
  </si>
  <si>
    <t>Unified Write Filter</t>
  </si>
  <si>
    <t>Task Name</t>
  </si>
  <si>
    <t>License</t>
  </si>
  <si>
    <t>Line Type</t>
  </si>
  <si>
    <t>Predecessors</t>
  </si>
  <si>
    <t>NCSC Blueprint</t>
  </si>
  <si>
    <t>Priority</t>
  </si>
  <si>
    <t>RAG: Design and Planning</t>
  </si>
  <si>
    <t>RAG: Admin Configuration</t>
  </si>
  <si>
    <t>RAG: Deployment Time</t>
  </si>
  <si>
    <t>RAG: User Change (Impact)</t>
  </si>
  <si>
    <t>Comment</t>
  </si>
  <si>
    <t>Microsoft Resource Type</t>
  </si>
  <si>
    <t>Engagement Type</t>
  </si>
  <si>
    <t>Recommended use</t>
  </si>
  <si>
    <t>Key Stakeholder</t>
  </si>
  <si>
    <t>Risk Register / Audit Report Alignment</t>
  </si>
  <si>
    <t>Existing Third party Product</t>
  </si>
  <si>
    <t>Contract End date</t>
  </si>
  <si>
    <t>Soft saving category</t>
  </si>
  <si>
    <t>Business Justification</t>
  </si>
  <si>
    <t>Resource Type</t>
  </si>
  <si>
    <t>Management Portal</t>
  </si>
  <si>
    <t>RBAC Role in Microsoft Entra ID</t>
  </si>
  <si>
    <t>Product Category</t>
  </si>
  <si>
    <t>Zero Trust Pillar</t>
  </si>
  <si>
    <t>Available with Unified Support (subject to contract)</t>
  </si>
  <si>
    <t>Related Value Based Delivery (VBD) ?</t>
  </si>
  <si>
    <t>Does the VBD belong to a Designated Engineering package (If so, which one) ?</t>
  </si>
  <si>
    <t>Fasttrack Support Offering</t>
  </si>
  <si>
    <t>SC Exam</t>
  </si>
  <si>
    <t>ESI</t>
  </si>
  <si>
    <t>MCAPS</t>
  </si>
  <si>
    <t>High Level Prerequisites</t>
  </si>
  <si>
    <t>__</t>
  </si>
  <si>
    <t>Identity object remediation</t>
  </si>
  <si>
    <t>M365 E3, M365 F3</t>
  </si>
  <si>
    <t>Configuration</t>
  </si>
  <si>
    <t>Operational</t>
  </si>
  <si>
    <t>On-premises (ID Fix, dsa.msc)</t>
  </si>
  <si>
    <t>N/A (On-prem activity)</t>
  </si>
  <si>
    <t>Organisation Specific (on-premises deployment)</t>
  </si>
  <si>
    <t>Identity and Access Management</t>
  </si>
  <si>
    <t>Yes</t>
  </si>
  <si>
    <t>Product</t>
  </si>
  <si>
    <t>Identity, Server Infrastructure</t>
  </si>
  <si>
    <t>https://portal.azure.com for cloud provisioning</t>
  </si>
  <si>
    <t>Global Admin</t>
  </si>
  <si>
    <t>Scoped (domain, OU, Group filtering)</t>
  </si>
  <si>
    <t>Zero Trust: Identity</t>
  </si>
  <si>
    <t>Recommended - Configure Password Hash Synchronisation</t>
  </si>
  <si>
    <t>Feature</t>
  </si>
  <si>
    <t>Good</t>
  </si>
  <si>
    <t>Productivity</t>
  </si>
  <si>
    <t>On-premises configuration</t>
  </si>
  <si>
    <t>Zero Trust Foundations Assessment</t>
  </si>
  <si>
    <t>Microsoft Apps for Enterprise (Office ProPlus)</t>
  </si>
  <si>
    <t>M365 E3</t>
  </si>
  <si>
    <t>End user compute</t>
  </si>
  <si>
    <t>https://endpoint.microsoft.com</t>
  </si>
  <si>
    <t>Productivity Suite</t>
  </si>
  <si>
    <t>Applications</t>
  </si>
  <si>
    <t xml:space="preserve">Microsoft 365 Apps; App Assure; Microsoft Teams </t>
  </si>
  <si>
    <t>Data Migration</t>
  </si>
  <si>
    <t>_</t>
  </si>
  <si>
    <t>Exchange migration</t>
  </si>
  <si>
    <t>Operational, Productivity</t>
  </si>
  <si>
    <t>Active Directory, Exchange, Server infrastructure</t>
  </si>
  <si>
    <t>https://admin.microsoft.com</t>
  </si>
  <si>
    <t>Organization Management</t>
  </si>
  <si>
    <t>Email</t>
  </si>
  <si>
    <t>SharePoint Migration</t>
  </si>
  <si>
    <t>Information Governance, Storage, Solutions Architect</t>
  </si>
  <si>
    <t>SharePoint Admin</t>
  </si>
  <si>
    <t>Document Management/Internet/EDRMS</t>
  </si>
  <si>
    <t>Applications/Data</t>
  </si>
  <si>
    <t>Activate SharePoint Online Migration MIP</t>
  </si>
  <si>
    <t xml:space="preserve">SPO/ ODfB; Data Migration </t>
  </si>
  <si>
    <t>OneDrive Migration</t>
  </si>
  <si>
    <t>Identity (Microsoft Entra)</t>
  </si>
  <si>
    <t>Strong Authentication</t>
  </si>
  <si>
    <t>WorkshopPLUS - Microsoft Azure: Identity</t>
  </si>
  <si>
    <t>Microsoft Entra Password Protection</t>
  </si>
  <si>
    <t>Risk Reduction</t>
  </si>
  <si>
    <t>https://entra.microsoft.com</t>
  </si>
  <si>
    <t>Security Administrator</t>
  </si>
  <si>
    <t>Tenant Wide</t>
  </si>
  <si>
    <t>Identity, Networking</t>
  </si>
  <si>
    <t>Conditional Access Administrator</t>
  </si>
  <si>
    <t>Scoped (named locations)</t>
  </si>
  <si>
    <t>Scoped (to CA policy)</t>
  </si>
  <si>
    <t>Microsoft Entra MFA for all users (ZT: Strong Authentication)</t>
  </si>
  <si>
    <t>Identity, Helpdesk, End User Compute</t>
  </si>
  <si>
    <t>Authentication Administrator</t>
  </si>
  <si>
    <t>Operational, Risk Reduction, Productivity</t>
  </si>
  <si>
    <t>User Administrator + Global Administrator</t>
  </si>
  <si>
    <t>Tenant wide settings, scoped deployment</t>
  </si>
  <si>
    <t>Microsoft Entra Temporary Access Passwords</t>
  </si>
  <si>
    <t>Passwordless Authentication (ZT: Strong Authentication)</t>
  </si>
  <si>
    <t>Security Administrator + Global Admin</t>
  </si>
  <si>
    <t>Suggestion - Enable Microsoft Entra MFA for On-prem services (RADIUS)</t>
  </si>
  <si>
    <t>Suggestion</t>
  </si>
  <si>
    <t>Server infrastructure, Identity, Helpdesk, End User Compute</t>
  </si>
  <si>
    <t>Authentication Policy Administrator</t>
  </si>
  <si>
    <t>Identity/Applications</t>
  </si>
  <si>
    <t>Conditional Access</t>
  </si>
  <si>
    <t xml:space="preserve">Activate Azure with Multi-Factor Authentication and Conditional Access </t>
  </si>
  <si>
    <t>Microsoft Entra Conditional Access: Block Legacy Authentication</t>
  </si>
  <si>
    <t>Identity, Security</t>
  </si>
  <si>
    <t>Microsoft Entra Conditional Access: Policies</t>
  </si>
  <si>
    <t>Risk Reduction, Operational</t>
  </si>
  <si>
    <t>Microsoft Entra Identity Protection</t>
  </si>
  <si>
    <t>Better</t>
  </si>
  <si>
    <t>Microsoft Entra ID: Secure Foundation Infrastructure</t>
  </si>
  <si>
    <t>Microsoft Defender for Cloud Apps (Session Controls)</t>
  </si>
  <si>
    <t>Best</t>
  </si>
  <si>
    <t>Identity, Security, End User Compute</t>
  </si>
  <si>
    <t>https://security.microsoft.com</t>
  </si>
  <si>
    <t>Assess Continuous Access Evaluation</t>
  </si>
  <si>
    <t>Scoped (users and groups)</t>
  </si>
  <si>
    <t>Identity, End User Compute</t>
  </si>
  <si>
    <t>Identity and Access Management/Device Management</t>
  </si>
  <si>
    <t>Identity/Devices</t>
  </si>
  <si>
    <t>Intune MAM/MDM/Cloud Attach; Windows 10</t>
  </si>
  <si>
    <t>Microsoft Entra Conditional Access: Authentication Strength</t>
  </si>
  <si>
    <t>https://entra.microsoft.com and https://compliance.microsoft.com</t>
  </si>
  <si>
    <t>Microsoft Entra Conditional Access: Workload Identities</t>
  </si>
  <si>
    <t>Suggestion - SME Review Conditional Access Policies</t>
  </si>
  <si>
    <t>N/A</t>
  </si>
  <si>
    <t>Operational, Risk Reduction</t>
  </si>
  <si>
    <t>External</t>
  </si>
  <si>
    <t>Professional Services</t>
  </si>
  <si>
    <t>Privilege Management (Cloud Administrators)</t>
  </si>
  <si>
    <t>Architectural Service - Microsoft Entra ID: Designing a Secure Cloud Identity</t>
  </si>
  <si>
    <t>Microsoft Entra RBAC Configuration (ZT: Least Privilege)</t>
  </si>
  <si>
    <t>Identity, Security, Information Governance</t>
  </si>
  <si>
    <t>All portals</t>
  </si>
  <si>
    <t>More information</t>
  </si>
  <si>
    <t>Privileged Access</t>
  </si>
  <si>
    <t>Microsoft Entra Privileged Identity Management (ZT: Least Privilege)</t>
  </si>
  <si>
    <t>Privileged Role Administrator</t>
  </si>
  <si>
    <t>Microsoft Entra ID: Governance</t>
  </si>
  <si>
    <t>Privileged Access Management (Exchange Online Only)</t>
  </si>
  <si>
    <t>Conditional Access: Microsoft Admin Portals and Device filters</t>
  </si>
  <si>
    <t>Microsoft Entra Permissions Management (CIEM)</t>
  </si>
  <si>
    <t>Microsoft Entra Application Proxy</t>
  </si>
  <si>
    <t>Identity, End User Compute, Networking</t>
  </si>
  <si>
    <t>Application Administrator</t>
  </si>
  <si>
    <t>Intune Service Administrator + Azure Contributor</t>
  </si>
  <si>
    <t>VPN/Remote Access</t>
  </si>
  <si>
    <t>Network</t>
  </si>
  <si>
    <t>Microsoft Entra ID - Third party SaaS Applications (SSO)</t>
  </si>
  <si>
    <t>Cloud Application Administrator</t>
  </si>
  <si>
    <t>Global Secure Access Administrator role</t>
  </si>
  <si>
    <t>Security Service Edge</t>
  </si>
  <si>
    <t>Applications/network</t>
  </si>
  <si>
    <t>Consideration</t>
  </si>
  <si>
    <t>Modernise JML Process</t>
  </si>
  <si>
    <t>Suggestion - HR System Integration (who should be in Directory)</t>
  </si>
  <si>
    <t>Cloud Application Administrator (direct AAD)</t>
  </si>
  <si>
    <t>Application Administrator + Hybrid Identity administrator</t>
  </si>
  <si>
    <t>Scoped (based on source of data)</t>
  </si>
  <si>
    <t>Consideration - Access to Microsoft Identity Manager (MIM) CALs (EOL 2029)</t>
  </si>
  <si>
    <t>Process - Disable Accounts not used in last 30 days</t>
  </si>
  <si>
    <t>Process</t>
  </si>
  <si>
    <t>Identity, Helpdesk</t>
  </si>
  <si>
    <t>Group Administrator, Intune Administrator, User Administrator</t>
  </si>
  <si>
    <t>Microsoft Entra Identity Governance - Access Reviews</t>
  </si>
  <si>
    <t>Identity, End User Compute, Helpdesk</t>
  </si>
  <si>
    <t>Based on Requirement</t>
  </si>
  <si>
    <t>Identity Governance</t>
  </si>
  <si>
    <t>Identity/Visibility, Automation and Orchestration</t>
  </si>
  <si>
    <t>Microsoft Entra Identity Governance - Entitlement Packages</t>
  </si>
  <si>
    <t>Identity, End User Compute, Information Governance</t>
  </si>
  <si>
    <t>Microsoft Entra Identity Governance - Lifecycle Workflows</t>
  </si>
  <si>
    <t>Identity Governance SKU</t>
  </si>
  <si>
    <t>Microsoft Entra Identity Governance - User-to-Group Affilation Access Reviews</t>
  </si>
  <si>
    <t>Guest Management</t>
  </si>
  <si>
    <t>External Identities (B2B 1:5 billing model)</t>
  </si>
  <si>
    <t>Guest Inviter</t>
  </si>
  <si>
    <t>External Identities (MAU billing model)</t>
  </si>
  <si>
    <t>Azure Subscription</t>
  </si>
  <si>
    <t>Azure Contributor</t>
  </si>
  <si>
    <t>Teams Administrator, Security Administrator</t>
  </si>
  <si>
    <t>External Identities B2B Direct Connect</t>
  </si>
  <si>
    <t>Process Suggestions</t>
  </si>
  <si>
    <t>Process - Assess Microsoft 365 Secure Score - Continuous</t>
  </si>
  <si>
    <t>Security</t>
  </si>
  <si>
    <t>Security Management</t>
  </si>
  <si>
    <t>Visibility, Automation and Orchestration</t>
  </si>
  <si>
    <t>Endpoints (Intune)</t>
  </si>
  <si>
    <t>Zero Trust: Endpoint</t>
  </si>
  <si>
    <t>Intune Plan 1 Configuration - Corporate Devices</t>
  </si>
  <si>
    <t>Secure Endpoints with Zero Trust: Microsoft Intune</t>
  </si>
  <si>
    <t>Baseline Compliance Policies</t>
  </si>
  <si>
    <t>Intune Administrator (Endpoint Security Administrator</t>
  </si>
  <si>
    <t>Device Management</t>
  </si>
  <si>
    <t>Devices</t>
  </si>
  <si>
    <t>Intune MAM/MDM; Cloud Attach</t>
  </si>
  <si>
    <t>MDM Configuration Polices - Mobile OS (iOS, Android)</t>
  </si>
  <si>
    <t>Intune Administrator</t>
  </si>
  <si>
    <t>MAM Policies - Mobile OS (iOS Android)</t>
  </si>
  <si>
    <t>MDM Configuration Policies - Desktop OS</t>
  </si>
  <si>
    <t>Microsoft Entra Domain Joined or Hybrid Domain Joined</t>
  </si>
  <si>
    <t>Scoped (onboarded devices)</t>
  </si>
  <si>
    <t>Intune Plan 1 Configuration - BYOD Devices</t>
  </si>
  <si>
    <t>Suggestion - Intune Categories</t>
  </si>
  <si>
    <t>Modern Management (BYOD)</t>
  </si>
  <si>
    <t>MDM BYOD Policies (iOS Android)</t>
  </si>
  <si>
    <t>MAM BYOD Policies (iOS Android)</t>
  </si>
  <si>
    <t>Process - Allow BYOD Devices</t>
  </si>
  <si>
    <t>End User Compute</t>
  </si>
  <si>
    <t>N/A (Process)</t>
  </si>
  <si>
    <t>Modern Management</t>
  </si>
  <si>
    <t>Intune Plan 2 Configuration</t>
  </si>
  <si>
    <t>Intune Administrator (can define custom role)</t>
  </si>
  <si>
    <t>Remote Access/Helpdesk</t>
  </si>
  <si>
    <t>Intune - Co Management with ConfigMgr</t>
  </si>
  <si>
    <t>ConfigMgr Update to current branch</t>
  </si>
  <si>
    <t>ConfigMgr Admin (On-prem)</t>
  </si>
  <si>
    <t>Devices/Infrastructure</t>
  </si>
  <si>
    <t>ConfigMgr Cloud Management Gateway</t>
  </si>
  <si>
    <t>https://portal.azure.com</t>
  </si>
  <si>
    <t>Azure Subscription Manager + Global Admin</t>
  </si>
  <si>
    <t>Co-Management Configuration</t>
  </si>
  <si>
    <t>Suggestion - Migrate Apps to Intune</t>
  </si>
  <si>
    <t>Suggestion - SME Review of Intune Configuration</t>
  </si>
  <si>
    <t>Window 10/11 Rollout and Features</t>
  </si>
  <si>
    <t>WorkshopPLUS - Windows 11: Administration and Configuration</t>
  </si>
  <si>
    <t>Windows Client</t>
  </si>
  <si>
    <t>Desktop Operating System</t>
  </si>
  <si>
    <t xml:space="preserve">Windows 10 </t>
  </si>
  <si>
    <t>Suggestion - Windows 10 Evergreen Plan (WUfB)</t>
  </si>
  <si>
    <t>Intune Administrator + ConfigMgr Admin (On-prem)</t>
  </si>
  <si>
    <t>Patch Management</t>
  </si>
  <si>
    <t>Consideration - Windows Autopatch</t>
  </si>
  <si>
    <t>NO</t>
  </si>
  <si>
    <t>Consideration - Desktop App Assure</t>
  </si>
  <si>
    <t>AutoPilot Configuration</t>
  </si>
  <si>
    <t>Windows 10/11 Features</t>
  </si>
  <si>
    <t>Windows LAPS (Cloud LAPS, preview)</t>
  </si>
  <si>
    <t>Windows Hello (for Business)</t>
  </si>
  <si>
    <t>Microsoft Defender for Endpoints Plan 1</t>
  </si>
  <si>
    <t>Intune Administrator, Security Administrator</t>
  </si>
  <si>
    <t>Endpoint Threat Management</t>
  </si>
  <si>
    <t>Microsoft Defender Exploit Guard (ASR Rules)</t>
  </si>
  <si>
    <t>Microsoft Defender Application Control (Code Integrity)</t>
  </si>
  <si>
    <t>Device Control</t>
  </si>
  <si>
    <t>Applications, Visibility, Automation and Orchestration</t>
  </si>
  <si>
    <t>Microsoft Defender Application Guard - Edge (for Admins)</t>
  </si>
  <si>
    <t>M365 E3, M365 F5</t>
  </si>
  <si>
    <t>Web Content Filtering</t>
  </si>
  <si>
    <t>Networking</t>
  </si>
  <si>
    <t>Windows Firewall (Advanced Configuration)</t>
  </si>
  <si>
    <t>Host based firewall</t>
  </si>
  <si>
    <t>Disk Encryption</t>
  </si>
  <si>
    <t>Cloud PC</t>
  </si>
  <si>
    <t>Onboarding Accelerator - Deployment and Migration Assistance for Windows Client</t>
  </si>
  <si>
    <t>Threat Protection (Microsoft Defender)</t>
  </si>
  <si>
    <t>Microsoft Defender for Endpoints (MDE) Plan 2</t>
  </si>
  <si>
    <t>Secure Endpoints with Zero Trust: Microsoft Defender for Endpoint</t>
  </si>
  <si>
    <t>MDE Configuration</t>
  </si>
  <si>
    <t>Microsoft Threat Experts - Endpoint Attack Notifications</t>
  </si>
  <si>
    <t>Microsoft Defender for Endpoints for Servers</t>
  </si>
  <si>
    <t>MDE for Servers</t>
  </si>
  <si>
    <t>Threat and Vulnerability Management</t>
  </si>
  <si>
    <t>Microsoft Defender for Endpoints TVM</t>
  </si>
  <si>
    <t>Microsoft Defender Vulnerability Management</t>
  </si>
  <si>
    <t>Microsoft Defender for Cloud</t>
  </si>
  <si>
    <t>Azure Arc</t>
  </si>
  <si>
    <t>Resource group permission: Micrsoft.hybridCompute/machines/write</t>
  </si>
  <si>
    <t>Scoped (based on Subscription and permissions)</t>
  </si>
  <si>
    <t>Process - Assess Foundation CSPM Capabilities</t>
  </si>
  <si>
    <t>Based on use</t>
  </si>
  <si>
    <t>Cloud Security Posture Management</t>
  </si>
  <si>
    <t>Accelerate Cloud Security Posture Management and Workload Protection</t>
  </si>
  <si>
    <t>Microsoft Defender Cloud Security Posture Management</t>
  </si>
  <si>
    <t>Microsoft Defender for Servers (P1)</t>
  </si>
  <si>
    <t>Azure Subscription Administrator</t>
  </si>
  <si>
    <t>Server Threat Management</t>
  </si>
  <si>
    <t>Microsoft Defender for Servers (P2)</t>
  </si>
  <si>
    <t>Microsoft Defender for Storage</t>
  </si>
  <si>
    <t>Storage Threat Management</t>
  </si>
  <si>
    <t>Microsoft Defender for SQL</t>
  </si>
  <si>
    <t>Database Threat Management</t>
  </si>
  <si>
    <t>Microsoft Defender for Containers</t>
  </si>
  <si>
    <t>Microsoft Defender for Key Vault</t>
  </si>
  <si>
    <t>Services Threat Management</t>
  </si>
  <si>
    <t>Microsoft Defender for Resource Manager</t>
  </si>
  <si>
    <t>Microsoft Defender for Azure DNS</t>
  </si>
  <si>
    <t>Microsoft Defender for App Service</t>
  </si>
  <si>
    <t>Microsoft Defender for Open-Source Relational Databases</t>
  </si>
  <si>
    <t>Contributor in Azure Subscription, Organization Admin in GitHub and Security Admin in DfC</t>
  </si>
  <si>
    <t>DevOps Threat Management</t>
  </si>
  <si>
    <t>Microsoft Defender for IoT</t>
  </si>
  <si>
    <t>IoT Threat Management</t>
  </si>
  <si>
    <t>Azure Network Protection (paid for workloads)</t>
  </si>
  <si>
    <t>Security, Networking</t>
  </si>
  <si>
    <t>Azure DDoS Protection (Standard)</t>
  </si>
  <si>
    <t>Application Publishing/Networking</t>
  </si>
  <si>
    <t>Azure Web Application Gateway (v2)</t>
  </si>
  <si>
    <t>Secure remote access</t>
  </si>
  <si>
    <t>Cloud Applications</t>
  </si>
  <si>
    <t>Office 365</t>
  </si>
  <si>
    <t>M365 Capability Assessment</t>
  </si>
  <si>
    <t>Security and Compliance</t>
  </si>
  <si>
    <t>SharePoint/OneDrive/Teams Antimalware Protection (E3)</t>
  </si>
  <si>
    <t>Security, Applications</t>
  </si>
  <si>
    <t>Organization Management, Security Administrator</t>
  </si>
  <si>
    <t>Cloud Application Threat Management</t>
  </si>
  <si>
    <t>Configure Defender for Office 365</t>
  </si>
  <si>
    <t>Activate Microsoft Defender for Office 365</t>
  </si>
  <si>
    <t>Safe Documents (Application Guard)</t>
  </si>
  <si>
    <t>Security, Applications, End User Compute</t>
  </si>
  <si>
    <t>Tenant wide (Global Setting)</t>
  </si>
  <si>
    <t>Exchange Online</t>
  </si>
  <si>
    <t>Activate Exchange Online Protection</t>
  </si>
  <si>
    <t>Attack Simulator (v2)</t>
  </si>
  <si>
    <t>Risk Reduction, Productivity</t>
  </si>
  <si>
    <t>Security, Training</t>
  </si>
  <si>
    <t>Based on need</t>
  </si>
  <si>
    <t>User Awareness and Training</t>
  </si>
  <si>
    <t>Secure External Mailflow (TLS, DKIM, DMARC, SPF)</t>
  </si>
  <si>
    <t>Mail filtering</t>
  </si>
  <si>
    <t>Block Client Forwarding rules</t>
  </si>
  <si>
    <t>Configure transport rules to block known Ransomware file types</t>
  </si>
  <si>
    <t>Teams</t>
  </si>
  <si>
    <t>Microsoft Teams</t>
  </si>
  <si>
    <t>Teams Administrator</t>
  </si>
  <si>
    <t>Accelerate - Microsoft Teams, Governance, Security and Compliance</t>
  </si>
  <si>
    <t>Application Management</t>
  </si>
  <si>
    <t>Security, Identity</t>
  </si>
  <si>
    <t>Identity Threat Protection</t>
  </si>
  <si>
    <t>Microsoft Defender for Cloud Apps (Threat Protection)</t>
  </si>
  <si>
    <t>Global Admin, Compliance Administrator</t>
  </si>
  <si>
    <t>Tenant Wide enablement, with scoped controls</t>
  </si>
  <si>
    <t>Extended Detection and Response</t>
  </si>
  <si>
    <t>Tenant Wide (Scoped to Onboard Devices)</t>
  </si>
  <si>
    <t>Threat Intelligence</t>
  </si>
  <si>
    <t>Security, Infrastructure</t>
  </si>
  <si>
    <t>Tenant Wide (Scoped to defined IP's and Domains)</t>
  </si>
  <si>
    <t>Best / Logging and Monitoring</t>
  </si>
  <si>
    <t>Microsoft Sentinel Contributor</t>
  </si>
  <si>
    <t>SIEM/SOAR</t>
  </si>
  <si>
    <t>Well Architected Security Assessment</t>
  </si>
  <si>
    <t>Well Architected</t>
  </si>
  <si>
    <t>Compliance and Governance (Microsoft Purview)</t>
  </si>
  <si>
    <t>Accelerate – Microsoft Teams Governance, Security and Compliance</t>
  </si>
  <si>
    <t>Protect and Govern Sensitive Data</t>
  </si>
  <si>
    <t>Labelling and Classification: Microsoft Purview Information Protection</t>
  </si>
  <si>
    <t>Activate Microsoft 365 Security and Compliance: Sensitivity Labels</t>
  </si>
  <si>
    <t>Information Governance</t>
  </si>
  <si>
    <t>N/A Non technical activity</t>
  </si>
  <si>
    <t>Information Protection</t>
  </si>
  <si>
    <t>Customer Process</t>
  </si>
  <si>
    <t>Compliance Data Administrator</t>
  </si>
  <si>
    <t>Microsoft Information Protection</t>
  </si>
  <si>
    <t>Microsoft Purview Information Protection - Manual Sensitive Labelling</t>
  </si>
  <si>
    <t>Intune Administrator + Compliance Data Administrator</t>
  </si>
  <si>
    <t>Microsoft Purview Information Protection - Auto Labelling conditions</t>
  </si>
  <si>
    <t>Advanced Classification - Trainable Classifiers</t>
  </si>
  <si>
    <t>Compliance Administrator</t>
  </si>
  <si>
    <t>Advanced Classification - Exact Data Match and Configurable Data Match</t>
  </si>
  <si>
    <t>Microsoft Defender for Cloud Apps (Shadow IT)</t>
  </si>
  <si>
    <t>Security, Applications, Information Governance</t>
  </si>
  <si>
    <t>Application Discovery</t>
  </si>
  <si>
    <t>Microsoft Purview Labelling Scanner - Discovery Only</t>
  </si>
  <si>
    <t>Compliance Data Administrator + Cloud Application Administrator</t>
  </si>
  <si>
    <t>Microsoft Purview Labelling Scanner - classify/label/protect unstructured file data</t>
  </si>
  <si>
    <t>Content Explorer and Activity Explorer</t>
  </si>
  <si>
    <t>Varies based on role</t>
  </si>
  <si>
    <t>Tenant Wide (permissions to data still required)</t>
  </si>
  <si>
    <t>Data Loss Prevention</t>
  </si>
  <si>
    <t>Activate Microsoft 365 Security and Compliance: Data Loss Prevention</t>
  </si>
  <si>
    <t>Security, Information Governance</t>
  </si>
  <si>
    <t>SharePoint Administrator</t>
  </si>
  <si>
    <t>Microsoft Defender for Cloud Apps</t>
  </si>
  <si>
    <t>Applications, Information Governance</t>
  </si>
  <si>
    <t>Data Lifecycle Management</t>
  </si>
  <si>
    <t>Information Protection Admin</t>
  </si>
  <si>
    <t>Scoped (Users and Groups)</t>
  </si>
  <si>
    <t>Azure Information Protection</t>
  </si>
  <si>
    <t>Prevent Accidential Oversharing in Outlook</t>
  </si>
  <si>
    <t>Risk Reducation</t>
  </si>
  <si>
    <t>Microsoft Purview Message Encryption</t>
  </si>
  <si>
    <t>Compliance administrator, Organisation Management</t>
  </si>
  <si>
    <t>Apply branding to message encryption</t>
  </si>
  <si>
    <t>Scoped* (Users and Groups)</t>
  </si>
  <si>
    <t>Endpoint Data Loss Prevention</t>
  </si>
  <si>
    <t>Scoped (Users and Groups, scoped labels)</t>
  </si>
  <si>
    <t>On-premises Data Loss Prevention</t>
  </si>
  <si>
    <t>Security, Information Governance, Server Infrastructure</t>
  </si>
  <si>
    <t>Security, Information Governance, HR</t>
  </si>
  <si>
    <t>Insider Risk Management Admin</t>
  </si>
  <si>
    <t>Insider Risk Management</t>
  </si>
  <si>
    <t>(Preview) Enable Adaptive DLP controls</t>
  </si>
  <si>
    <t>Microsoft Purview Data Catalogue</t>
  </si>
  <si>
    <t>Microsoft Purview Data Lifecycle Management (Retention Labelling)</t>
  </si>
  <si>
    <t>M365 E3, M365 F3*</t>
  </si>
  <si>
    <t>Records Management</t>
  </si>
  <si>
    <t>Microsoft Information Governance</t>
  </si>
  <si>
    <t>Logging and Auditing</t>
  </si>
  <si>
    <t>eDiscovery</t>
  </si>
  <si>
    <t>Risky Sign-ins Monitoring</t>
  </si>
  <si>
    <t>Security Reader</t>
  </si>
  <si>
    <t>Microsoft Purview Audit (Standard)</t>
  </si>
  <si>
    <t>Security, Server Infrastructure, Information Governance</t>
  </si>
  <si>
    <t>Monitoring Reader, Monitoring Contributor</t>
  </si>
  <si>
    <t>Governance Policy (Business and Regulatory)</t>
  </si>
  <si>
    <t>Compliance Manager</t>
  </si>
  <si>
    <t>Compliance Management</t>
  </si>
  <si>
    <t>Microsoft Purview Communication Compliance</t>
  </si>
  <si>
    <t>Information Governance, HR</t>
  </si>
  <si>
    <t>Microsoft Priva Subject Rights Requests</t>
  </si>
  <si>
    <t>HR, Information Governance</t>
  </si>
  <si>
    <t>Privacy Management</t>
  </si>
  <si>
    <t>Microsoft Priva Risk Management</t>
  </si>
  <si>
    <t>Security, Server Infrastructure</t>
  </si>
  <si>
    <t>Azure RBAC: Microsoft.Authorization and Microsoft.PolicyInsights</t>
  </si>
  <si>
    <t>Regulatory Compliance</t>
  </si>
  <si>
    <t>Global Administrator</t>
  </si>
  <si>
    <t>Encryption Management</t>
  </si>
  <si>
    <t>Microsoft Purview Information Barriers</t>
  </si>
  <si>
    <t>Business Justification - EN-GB</t>
  </si>
  <si>
    <t>Business Justification - EN-US</t>
  </si>
  <si>
    <t xml:space="preserve">   Identity object remediation</t>
  </si>
  <si>
    <t>Allows for synchronisation of on-premises Active Directory accounts into Microsoft Entra ID</t>
  </si>
  <si>
    <t xml:space="preserve">   Microsoft Entra Connect Deployment (directory synchronisation)</t>
  </si>
  <si>
    <t>Creates a relationship between on-premises AD Accounts and AD accounts to make them appear as one account (single identity, effectively a hybrid identity)</t>
  </si>
  <si>
    <t xml:space="preserve">      Recommended - Configure Password Hash Synchronisation</t>
  </si>
  <si>
    <t>Allows for seamless single sign on whilst also removing the need for AD FS servers. This also means no reliance on any servers for authentication on-premises reducing surface area of attack</t>
  </si>
  <si>
    <t xml:space="preserve">   Microsoft Apps for Enterprise (Office ProPlus)</t>
  </si>
  <si>
    <t>Always latest and greatest version of Office deployed using the modern Click to Run method.</t>
  </si>
  <si>
    <t xml:space="preserve">   Data Migration</t>
  </si>
  <si>
    <t xml:space="preserve">      Exchange migration</t>
  </si>
  <si>
    <t>Significantly reduce or remove on-premises Exchange servers and all it's associated requirements leaving uses with an always up to date Exchange, access from anywhere, significantly larger mailboxes, transport rules and advanced compliance features on top of other benefits</t>
  </si>
  <si>
    <t xml:space="preserve">      SharePoint Migration</t>
  </si>
  <si>
    <t>Migrate from legacy file shares to modern document management with SharePoint Online, providing an EDRM system, structured data, better searching, larger storage capacity, better insights, secure access from anywhere and access to advanced compliance features on top of other benefits</t>
  </si>
  <si>
    <t xml:space="preserve">      OneDrive Migration</t>
  </si>
  <si>
    <t>Migrate from legacy home drives to modern document management with OneDrive for Business, providing an EDRM system, structured data, better searching, unlimited storage capacity, secure access from anywhere and access to advanced compliance features on top of other benefits</t>
  </si>
  <si>
    <t xml:space="preserve">   Strong Authentication</t>
  </si>
  <si>
    <t xml:space="preserve">      Microsoft Entra Password Protection</t>
  </si>
  <si>
    <t>Stops users from using common passwords and forces them (politely) to set not a only a complex password but one that is more unique and less guessable. In turn this, coupled with MFA, removes the need for users to changes their passwords on a regular basis. This can help reduce load on the helpdesk for forgotten passwords or users physically writing down passwords and taping to desks</t>
  </si>
  <si>
    <t xml:space="preserve">      Microsoft Entra Conditional Access: Trusted Locations</t>
  </si>
  <si>
    <t>This has less of a use case in Zero Trust, but can still be used to help validate users when setting up MFA or enrolling devices. I.e., they must pass through physical security before setting up digital security</t>
  </si>
  <si>
    <t xml:space="preserve">      Microsoft Entra Conditional Access: User Actions (register security information)</t>
  </si>
  <si>
    <t>Allows organisations to define the conditional access conditions a user must go through to enrol into MFA or Self Service Password Reset (SSPR). This helps validate the user is a member of the organisation and not an attacker with phished credentials creating trust through MFA</t>
  </si>
  <si>
    <t>Allows organizations to define the conditional access conditions a user must go through to enrol into MFA or Self Service Password Reset (SSPR). This helps validate the user is a member of the organization and not an attacker with phished credentials creating trust through MFA</t>
  </si>
  <si>
    <t xml:space="preserve">      Microsoft Entra MFA for all users (ZT: Strong Authentication)</t>
  </si>
  <si>
    <t>Stops 99.9% of Identity based attacks. As identity is the control plane, MFA is essential protection. Factors of authentication are broken down into something you know (password/PIN), something you have (i.e. phone or token) and something you are (biometrics). The latter two typically can only exist in one place at a time giving trust that the user who provides these is who they claim to be.</t>
  </si>
  <si>
    <t xml:space="preserve">      Microsoft Entra Self Service Password Reset (SSPR)</t>
  </si>
  <si>
    <t>Can significantly reduce load on the help desk by allowing users to reset their own passwords. Provides greater levels of validation that the user is who they claim to be through MFA when resetting passwords. Also allows a user to reset their password anytime, even outside of helpdesk operating hours. Can also be used as a response action, in line with Azure Identity Protection, to help remediate compromised accounts</t>
  </si>
  <si>
    <t xml:space="preserve">      Microsoft Entra Temporary Access Passwords</t>
  </si>
  <si>
    <t>Primarily used by users go passwordless by validating them as a member of your organisation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t>
  </si>
  <si>
    <t>Primarily used by users go passwordless by validating them as a member of your organization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t>
  </si>
  <si>
    <t xml:space="preserve">      Passwordless Authentication (ZT: Strong Authentication)</t>
  </si>
  <si>
    <t>Removes legacy passwords and provides strong, user friendly, non-phishable credentials. The future of authentication</t>
  </si>
  <si>
    <t xml:space="preserve">      Microsoft Entra Authentication Methods: Certifcate-Based Authentication</t>
  </si>
  <si>
    <t>Microsoft Entra certificate-based authentication (CBA) enables organisations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t>
  </si>
  <si>
    <t>Microsoft Entra certificate-based authentication (CBA) enables organizations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t>
  </si>
  <si>
    <t xml:space="preserve">      Microsoft Entra Authentication Methods: OATH Tokens (Preview)</t>
  </si>
  <si>
    <t xml:space="preserve">      Suggestion - Enable Microsoft Entra MFA for On-prem services (RADIUS)</t>
  </si>
  <si>
    <t>Allows users to use the same additional factors of authentication they use with Azure MFA for on-premises services, such as VPNs and RDP access. Reduces the need to have yet more MFA tokens or other MFA services.</t>
  </si>
  <si>
    <t xml:space="preserve">   Conditional Access</t>
  </si>
  <si>
    <t xml:space="preserve">      Microsoft Entra Conditional Access: Block Legacy Authentication</t>
  </si>
  <si>
    <t>Reduces surface area of attacks and stops the use of weak authentication methods that does not support MFA (strong authentication). Allowing legacy authentication in any capacity should be highlight on your risk register</t>
  </si>
  <si>
    <t xml:space="preserve">      Microsoft Entra Conditional Access: Policies</t>
  </si>
  <si>
    <t>The cornerstone of modern authentication providing adaptive access controls based on users, devices, applications, data and risk. Effectively ensuring that right users have the right level of access based on the levels of controls they can adhere to. i.e., users on a fully managed device and MFA can access rich clients and download data whilst users on unmanaged (BYOPC) devices can be restricted to the browser and session controls can extraction of data)</t>
  </si>
  <si>
    <t xml:space="preserve">      Microsoft Entra Identity Protection</t>
  </si>
  <si>
    <t xml:space="preserve">Add risks as a condition to conditional access. Not only can this help work towards your Zero Trust strategy. For example, if risk is set to low with a requirement for MFA for all users, they will get additional MFA prompts. As they build a pattern of behaviour within the service (only seen by the A.I. / ML engines), and conform to this pattern they will be challenged for MFA less and less. This can help improve the user experience (less MFA prompts) whilst maintaining a high level of security. </t>
  </si>
  <si>
    <t xml:space="preserve">      Microsoft Defender for Cloud Apps (Session Controls)</t>
  </si>
  <si>
    <t xml:space="preserve">Brings more control for BYOD (especially BOYPC) and external users. Limits sessions on unmanaged devices to browser, controlling/blocking the transfer of data in and out of your environment </t>
  </si>
  <si>
    <t xml:space="preserve">      Assess Continuous Access Evaluation</t>
  </si>
  <si>
    <t>Continuously re-evaluates access, enforcing conditional access controls when there is a change (such as a user moving from a trusted location to an untrusted one) rather than relying on session timeouts. Greatly improves security without impacting user experience</t>
  </si>
  <si>
    <t xml:space="preserve">      Microsoft Entra Conditional Access: User Actions (register Device)</t>
  </si>
  <si>
    <t>Provide the conditions under which a user can register a device into Microsoft Entra ID, such as being in a trusted location or requiring MFA - this helps ensure that is a user of your organisation enrolling a device and not an attacker trying to gain device trust.</t>
  </si>
  <si>
    <t>Provide the conditions under which a user can register a device into Microsoft Entra ID, such as being in a trusted location or requiring MFA - this helps ensure that is a user of your organization enrolling a device and not an attacker trying to gain device trust.</t>
  </si>
  <si>
    <t xml:space="preserve">      Microsoft Entra Conditional Access: Authentication Strength</t>
  </si>
  <si>
    <t>Authentication strength can be set in the grant controls of a conditional access policy. This allows your organisation to use stronger authentication methods for more sensitive applications. When used with Authentication Context, your organisation can require more strict identity verification for access to specific data.</t>
  </si>
  <si>
    <t>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t>
  </si>
  <si>
    <t xml:space="preserve">      Microsoft Entra Conditional Access: Authentication Context</t>
  </si>
  <si>
    <t>Authentication Context allows you set strict or heavily defined security controls over specific applications and data. For example, users, including guests, can be accessing data in a SharePoint site, but some data might be more sensitive. When applying a label with protection (RMS encryption), this block access to the data in Line of Business applications or break processes. With Authentication context, the access to the data can restricted in Conditional Access. For example, when accessing the specific data within the SharePoint site, the Conditional Access policy may require a compliant device or a stronger Authentication Strength to access. In turn, this can reduce the number of conditional access policies required to great the equivalent level of granular access.</t>
  </si>
  <si>
    <t xml:space="preserve">      Microsoft Entra Conditional Access: Workload Identities</t>
  </si>
  <si>
    <t xml:space="preserve">      Suggestion - SME Review Conditional Access Policies</t>
  </si>
  <si>
    <t>Conditional Access is your frontline for access into your environment, having professional services review and refine your policies can improve your security posture, ensure you are taking a modern approach and potentially improve the end user experience.</t>
  </si>
  <si>
    <t xml:space="preserve">   Privilege Management (Cloud Administrators)</t>
  </si>
  <si>
    <t xml:space="preserve">      Microsoft Entra RBAC Configuration (ZT: Least Privilege)</t>
  </si>
  <si>
    <t>Following the Zero Trust principal of least privilege, granting your admins only the permissions they require can reduce the impact of breach, both from external attackers and insider threats</t>
  </si>
  <si>
    <t xml:space="preserve">      Microsoft Entra Privileged Identity Management (ZT: Least Privilege)</t>
  </si>
  <si>
    <t>Removes privileged standing access and provides auditing and justification around the use of privilege for both internal admins and external support (such as contractors). This significantly reduces your surface area of attack and the damage that can be done in a breach scenario</t>
  </si>
  <si>
    <t xml:space="preserve">      Privileged Access Management (Exchange Online Only)</t>
  </si>
  <si>
    <t>Provides additional auditing and justification around the most dangerous tasks (such as new-journalrule) that an Exchange admin can run.</t>
  </si>
  <si>
    <t xml:space="preserve">      Conditional Access: Microsoft Admin Portals and Device filters</t>
  </si>
  <si>
    <t xml:space="preserve">      Microsoft Entra Permissions Management (CIEM)</t>
  </si>
  <si>
    <t xml:space="preserve">   Application Access</t>
  </si>
  <si>
    <t xml:space="preserve">      Configure Application Consent for Data Access</t>
  </si>
  <si>
    <t>Reduces expose of potential PII data and gives control to admins who can grant consent if needed</t>
  </si>
  <si>
    <t xml:space="preserve">      Microsoft Entra Application Proxy</t>
  </si>
  <si>
    <t>Can remove the need for VPNs by providing access to on-premises applications via Microsoft Entra ID (including Conditional Access, MFA, Identity Governance etc.). Outbound only connections significantly reducing your surface area of attack. Follows Zero trust application principals of verifying each connection to each application (rather than a VPN granting access to all applications and the internal network)</t>
  </si>
  <si>
    <t xml:space="preserve">      Microsoft Tunnel</t>
  </si>
  <si>
    <t>Allow iOS and Android devices to access on-premises resources (such as file and print services), protected by Conditional Access, MFA etc. without the need for additional VPN hardware and inbound ports</t>
  </si>
  <si>
    <t xml:space="preserve">      Microsoft Entra ID - Third party SaaS Applications (SSO)</t>
  </si>
  <si>
    <t>Greatly improves the user experience with a common sign on experience, provides Conditional Access and MFA even to apps that do not support them. Greatly simplifies the Joiners/Movers/Leavers process as user effectively only have one identity, rather than and identity for each application</t>
  </si>
  <si>
    <t xml:space="preserve">      (Preview) Global Secure Access: Private Access - Quick Access </t>
  </si>
  <si>
    <t>With Microsoft Entra Private Access (Quick Access), organisations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t>
  </si>
  <si>
    <t>With Microsoft Entra Private Access (Quick Access), organizations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t>
  </si>
  <si>
    <t xml:space="preserve">      (Preview) Global Secure Access: Private Access - Per-App </t>
  </si>
  <si>
    <t>With Microsoft Entra Private Access (Per-App Access), organisations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t>
  </si>
  <si>
    <t>With Microsoft Entra Private Access (Per-App Access), organizations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t>
  </si>
  <si>
    <t xml:space="preserve">      (Preview) Global Secure Access: Private Access - Remote Network vs Client App</t>
  </si>
  <si>
    <t>The connection to the Global Secure Access service can come from an organisations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t>
  </si>
  <si>
    <t>The connection to the Global Secure Access service can come from an organizations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t>
  </si>
  <si>
    <t xml:space="preserve">      (Preview) Global Secure Access: Private Access - Tenant Restrictions v2</t>
  </si>
  <si>
    <t>Tenant restricitions v2 allows organisations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t>
  </si>
  <si>
    <t>Tenant restricitions v2 allows organizations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t>
  </si>
  <si>
    <t xml:space="preserve">   Modernise JML Process</t>
  </si>
  <si>
    <t xml:space="preserve">      Suggestion - HR System Integration (who should be in Directory)</t>
  </si>
  <si>
    <t>Can help automate who should be in your Directory which can lead to automations within the Joiners/Movers/Leavers process. It also helps ensure only the right identities are in the directory and not large numbers of stale accounts. This can make lateral movement more difficult, reducing your surface area of attack. This also helps control application/services license costs and distribution of these licenses. This creates cost savings in admin work and license management</t>
  </si>
  <si>
    <t xml:space="preserve">         Configure Entra Inbound Provisioning API (Preview)</t>
  </si>
  <si>
    <t>The inbound provisioning API helps organisations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t>
  </si>
  <si>
    <t>The inbound provisioning API helps organizations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t>
  </si>
  <si>
    <t xml:space="preserve">      Consideration - Access to Microsoft Identity Manager (MIM) CALs (EOL 2029)</t>
  </si>
  <si>
    <t>Microsoft Identity Manager (MIM) can link together Identity Providers, such as Active Directory and Microsoft Entra ID with other identity driven services such as HR systems and applications. MIM can draw identities, attributes and information from multiple sources (into the MIM metaverse) and then apply rules and transformations and export to back to any connected system. For example, MIM can take information from a HR system and use this create users in Active Directory, assigning or updating the right attributes and group memberships through automated workflows. This can help modernise and automate the Joiners/Movers/Leavers process</t>
  </si>
  <si>
    <t xml:space="preserve">      Process - Disable Accounts not used in last 30 days</t>
  </si>
  <si>
    <t>Reduces surface area of attack by removing stale accounts that can be used for lateral movement. Stale accounts tend to be unmonitored and there is no one to "complain" their account is behaving abnormally.</t>
  </si>
  <si>
    <t xml:space="preserve">      Self Service Group Management</t>
  </si>
  <si>
    <t>Puts limited controls out to the organisation,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t>
  </si>
  <si>
    <t>Puts limited controls out to the organization,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t>
  </si>
  <si>
    <t xml:space="preserve">      Dynamic User Groups</t>
  </si>
  <si>
    <t>Groups are defined by users attributes in Active Directory rather than static group membership. This can help automate access to resources (including removing access to older resources and gaining access to new resources) without to manually update multiple groups during a change. This can help simplify the Joiners/Movers/Leavers process</t>
  </si>
  <si>
    <t xml:space="preserve">      Microsoft Entra Identity Governance - Access Reviews</t>
  </si>
  <si>
    <t>Access Reviews can help control permission (not privilege) creep by providing process to not only grant access but also remove it as users move through your organisation. These processes can then be managed by the business rather than IT. Effectively, IT can have full control but not the day to day running of granting access to resources. This removes bottle necks to access whilst also improving auditing and accountability</t>
  </si>
  <si>
    <t>Access Reviews can help control permission (not privilege) creep by providing process to not only grant access but also remove it as users move through your organization. These processes can then be managed by the business rather than IT. Effectively, IT can have full control but not the day to day running of granting access to resources. This removes bottle necks to access whilst also improving auditing and accountability</t>
  </si>
  <si>
    <t xml:space="preserve">      Microsoft Entra Identity Governance - Entitlement Packages</t>
  </si>
  <si>
    <t>Groups access to Microsoft Entra ID based services (groups, Teams, enterprise applications, SharePoint sites, Admin roles, Power Platform resources and M365 licensing) into Entitlement Packages. Significantly reduces bureaucracy, greatly simplifies the Joiners/Movers/Leavers process, can greatly reduce permission creep and reduce load on the helpdesk. Can be backed with Access Reviews to further improve auditing and accountability. Effectively IT can have full control over access but none of the day to day running.</t>
  </si>
  <si>
    <t xml:space="preserve">      Microsoft Entra Identity Governance - Lifecycle Workflows</t>
  </si>
  <si>
    <t>Lifecycle Workflows can add automation into the Joiners/Movers/Leavers process by adding actions that triggered by attribute changes to user objects (including creation of object). Actions can include (but not limited to) adding users  to entitlement packages (trigger approval workflow), emailing managers, adding users to group or custom actions which triggers Azure Logic App(s). This allows effective automation for all users, including those who may require access to serveral business areas, all with with autonomy and accountability.</t>
  </si>
  <si>
    <t xml:space="preserve">      Microsoft Entra Identity Governance - User-to-Group Affilation Access Reviews</t>
  </si>
  <si>
    <t>This Machine Learning based recommendation opens the journey to automate access reviews, thereby enabling intelligent automation and reducing access rights attestation fatigue. This recommendation detects user affiliation with other users within the group, based on organisation's reporting-structure similarity. The recommendation relies on a scoring mechanism, which is calculated by computing the user’s average distance with the remaining users in the group. Users who are distant from all the other group members based on their organisation's chart, are considered to have "low affiliation" within the group.</t>
  </si>
  <si>
    <t>This Machine Learning based recommendation opens the journey to automate access reviews, thereby enabling intelligent automation and reducing access rights attestation fatigue. This recommendation detects user affiliation with other users within the group, based on organization's reporting-structure similarity. The recommendation relies on a scoring mechanism, which is calculated by computing the user’s average distance with the remaining users in the group. Users who are distant from all the other group members based on their organization's chart, are considered to have "low affiliation" within the group.</t>
  </si>
  <si>
    <t xml:space="preserve">   Guest Management</t>
  </si>
  <si>
    <t xml:space="preserve">      External Identities (B2B 1:5 billing model)</t>
  </si>
  <si>
    <t>B2B Guests are identities that exist in another organisations Microsoft Entra ID tenant and can be invited into your tenant. The Guest account authenticates in their own Microsoft Entra ID and can then be challenged by your organisations conditional access policies, such as the requirement for MFA. For B2B guests to benefit from your organisations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t>
  </si>
  <si>
    <t>B2B Guests are identities that exist in another organizations Microsoft Entra ID tenant and can be invited into your tenant. The Guest account authenticates in their own Microsoft Entra ID and can then be challenged by your organizations conditional access policies, such as the requirement for MFA. For B2B guests to benefit from your organizations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t>
  </si>
  <si>
    <t xml:space="preserve">      External Identities (MAU billing model)</t>
  </si>
  <si>
    <t>External Identities simplifies management and removes confusion around licensing. An organisation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organisation to have strong and consistent identity controls without complexity.</t>
  </si>
  <si>
    <t>External Identities simplifies management and removes confusion around licensing. An organization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organization to have strong and consistent identity controls without complexity.</t>
  </si>
  <si>
    <t xml:space="preserve">      Identity Governance - Connected Organisations</t>
  </si>
  <si>
    <t>With Microsoft Entra ID entitlement management, you can collaborate with people outside your organisation. If you frequently collaborate with users in an external Microsoft Entra ID directory or domain, you can add them as a connected organisation. A connected organisation is another organisation that you have a relationship with. In order for the users in that organisation to be able to access your resources, such as your SharePoint Online sites or apps, you'll need a representation of that organisation's users in that directory. Via Microsoft Entra ID Entitlement Management, you can expose Entitlement Packages to the connected organisation greatly reducing the friction of collaboration and guest management.</t>
  </si>
  <si>
    <t>With Microsoft Entra ID entitlement management, you can collaborate with people outside your organization. If you frequently collaborate with users in an external Microsoft Entra ID directory or domain, you can add them as a connected organization. A connected organization is another organization that you have a relationship with. In order for the users in that organization to be able to access your resources, such as your SharePoint Online sites or apps, you'll need a representation of that organization's users in that directory. Via Microsoft Entra ID Entitlement Management, you can expose Entitlement Packages to the connected organization greatly reducing the friction of collaboration and guest management.</t>
  </si>
  <si>
    <t xml:space="preserve">      External Identities B2B Direct Connect</t>
  </si>
  <si>
    <t>Microsoft Entra B2B direct connect is a feature of External Identities that lets you set up a mutual trust relationship with another Microsoft Entra ID organisation for seamless collaboration. This feature currently works with Microsoft Teams shared channels. With B2B direct connect, users from both organisations can work together using their home credentials and a shared channel in Teams, without having to be added to each other’s organisations as guests. Use B2B direct connect to share resources with external Microsoft Entra ID organisations. Or use it to share resources across multiple Microsoft Entra ID tenants within your own organisation.</t>
  </si>
  <si>
    <t>Microsoft Entra B2B direct connect is a feature of External Identities that lets you set up a mutual trust relationship with another Microsoft Entra ID organization for seamless collaboration. This feature currently works with Microsoft Teams shared channels. With B2B direct connect, users from both organizations can work together using their home credentials and a shared channel in Teams, without having to be added to each other’s organizations as guests. Use B2B direct connect to share resources with external Microsoft Entra ID organizations. Or use it to share resources across multiple Microsoft Entra ID tenants within your own organization.</t>
  </si>
  <si>
    <t xml:space="preserve">   Process Suggestions</t>
  </si>
  <si>
    <t xml:space="preserve">      Process - Assess Microsoft 365 Secure Score - Continuous</t>
  </si>
  <si>
    <t>Proactively monitor your Microsoft 365 environment, acting upon recommendations to harden your environment and improve your security posture. Allows you to track improves to score over time and how you rate against similar organisations to yourself</t>
  </si>
  <si>
    <t>Proactively monitor your Microsoft 365 environment, acting upon recommendations to harden your environment and improve your security posture. Allows you to track improves to score over time and how you rate against similar organizations to yourself</t>
  </si>
  <si>
    <t xml:space="preserve">   Intune Plan 1 Configuration - Corporate Devices</t>
  </si>
  <si>
    <t xml:space="preserve">      Baseline Compliance Policies</t>
  </si>
  <si>
    <t>Allows you to define a minimum level of security on the endpoint (iOS, Android, MacOS and Windows). The compliance of the device (health attestation) is then used for device based conditional access - i.e., of the device is not compliant to the policy, the user will not be able to access services protected with that conditional access policy. This allows you to define and confirm trust in the device before allowing access</t>
  </si>
  <si>
    <t xml:space="preserve">      MDM Configuration Polices - Mobile OS (iOS, Android)</t>
  </si>
  <si>
    <t>These determine the end user experience, what the endpoint device configuration looks like as well as what apps can be deployed. The MDM policies allow you to remotely configure any enrolled device to conform to your organisations configuration (such as device lock down, application deployment etc.)</t>
  </si>
  <si>
    <t>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t>
  </si>
  <si>
    <t xml:space="preserve">      MAM Policies - Mobile OS (iOS Android)</t>
  </si>
  <si>
    <t>Mobile Application Management (MAM) policies control the flow of data on a device. This can prevent your organisations data being copied out of a manged application (like Outlook or Teams) to an unmanaged application on the device (such as the note taking app or native email client). Can stop common data breaches/oversharing be them accidental or malicious</t>
  </si>
  <si>
    <t>Mobile Application Management (MAM) policies control the flow of data on a device. This can prevent your organizations data being copied out of a manged application (like Outlook or Teams) to an unmanaged application on the device (such as the note taking app or native email client). Can stop common data breaches/oversharing be them accidental or malicious</t>
  </si>
  <si>
    <t xml:space="preserve">      MDM Configuration Policies - Desktop OS</t>
  </si>
  <si>
    <t>These determine the end user experience, what the endpoint device configuration looks like as well as what apps can be deployed. The MDM policies allow you to remotely configure any enrolled device to conform to your organisations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t>
  </si>
  <si>
    <t>These determine the end user experience, what the endpoint device configuration looks like as well as what apps can be deployed. The MDM policies allow you to remotely configure any enrolled device to conform to your organizations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t>
  </si>
  <si>
    <t xml:space="preserve">      Microsoft Entra Domain Joined or Hybrid Domain Joined</t>
  </si>
  <si>
    <t>Organisations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t>
  </si>
  <si>
    <t>organizations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t>
  </si>
  <si>
    <t xml:space="preserve">      Endpoint Analytics</t>
  </si>
  <si>
    <t>Endpoint analytics is part of the Microsoft Adoption Score. These analytics give you insights for measuring how your organisation is working and the quality of the experience you're delivering to your users. Endpoint analytics can help identify policies or hardware issues that may be slowing down devices and help you proactively make improvements before end-users generate a help desk ticket.</t>
  </si>
  <si>
    <t>Endpoint analytics is part of the Microsoft Adoption Score. These analytics give you insights for measuring how your organization is working and the quality of the experience you're delivering to your users. Endpoint analytics can help identify policies or hardware issues that may be slowing down devices and help you proactively make improvements before end-users generate a help desk ticket.</t>
  </si>
  <si>
    <t xml:space="preserve">   Intune Plan 1 Configuration - BYOD Devices</t>
  </si>
  <si>
    <t xml:space="preserve">      Suggestion - Intune Categories</t>
  </si>
  <si>
    <t>Categories can be used to define end user experiences on enrolled BYOD devices, for example, categories can be defined as user has a PIN or User doesn’t have a PIN. Categories can be used to define dynamic device groups which then apply appropriate configuration, such as enforcing a stronger PIN to unlock the device (user has PIN) vs requiring the PIN to access managed applications (user doesn't have a PIN). This allows you to enforce your security policies without breaking the users own end user experience</t>
  </si>
  <si>
    <t xml:space="preserve">      MDM BYOD Policies (iOS Android)</t>
  </si>
  <si>
    <t>These determine the end user experience, what the endpoint device configuration looks like as well as what apps can be deployed. The MDM policies allow you to remotely configure any enrolled device to conform to your organisations configuration (such as device lock down, application deployment etc.). The end user experience on BYOD devices can be further defined through the use of Categories</t>
  </si>
  <si>
    <t>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 The end user experience on BYOD devices can be further defined through the use of Categories</t>
  </si>
  <si>
    <t xml:space="preserve">      MAM BYOD Policies (iOS Android)</t>
  </si>
  <si>
    <t>Mobile Application Management (MAM) policies control the flow of data on a device. This can prevent your organisations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t>
  </si>
  <si>
    <t>Mobile Application Management (MAM) policies control the flow of data on a device. This can prevent your organizations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t>
  </si>
  <si>
    <t xml:space="preserve">      Process - Allow BYOD Devices</t>
  </si>
  <si>
    <t>This process is give confidence there is enough security in place to support remote devices that have not initially been in your control.</t>
  </si>
  <si>
    <t xml:space="preserve">   Intune Plan 2 Configuration</t>
  </si>
  <si>
    <t xml:space="preserve">     Microsoft Intune Tunnel for  Mobile Application Management </t>
  </si>
  <si>
    <t>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organisations on-premises apps and resources using modern authentication, Single Sign On and conditional access. With Tunnel for MAM, your users can use their own device (BYOD) for both work and personal use, without having to grant the organisation’s IT department control over that device.</t>
  </si>
  <si>
    <t>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organizations on-premises apps and resources using modern authentication, Single Sign On and conditional access. With Tunnel for MAM, your users can use their own device (BYOD) for both work and personal use, without having to grant the organization’s IT department control over that device.</t>
  </si>
  <si>
    <t xml:space="preserve">     Management of Specialty Devices</t>
  </si>
  <si>
    <t>Extends Intune device management to specialty devices, such as Smart Screens over 30", AR/VR headsets, Wearable headsets and Conference Room meeting devices. This also excludes all devices manageable with Microsoft Intune Plan 1</t>
  </si>
  <si>
    <t xml:space="preserve">   Intune Suite (Advanced)</t>
  </si>
  <si>
    <t xml:space="preserve">      Remote Help</t>
  </si>
  <si>
    <t>Remote help allows helpdesk and support admins to remotely control a Windows desktop with centralised controls via Microsoft Endpoint Manager</t>
  </si>
  <si>
    <t xml:space="preserve">      Microsoft Intune Endpoint Privilege Management</t>
  </si>
  <si>
    <t>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organisational policies. This allows enterprises to stay secure while improving efficiency for IT teams and removing friction to accomplish work and achieve business goals.</t>
  </si>
  <si>
    <t>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organizational policies. This allows enterprises to stay secure while improving efficiency for IT teams and removing friction to accomplish work and achieve business goals.</t>
  </si>
  <si>
    <t xml:space="preserve">      Microsoft Intune Advanced Endpoint Analytics</t>
  </si>
  <si>
    <t>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organisation for user experience and productivity regressions following configuration changes. For more information, see Anomaly detection. Also, An enhanced device timeline includes more events and lower data latency to assist with troubleshooting device issues.</t>
  </si>
  <si>
    <t>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organization for user experience and productivity regressions following configuration changes. For more information, see Anomaly detection. Also, An enhanced device timeline includes more events and lower data latency to assist with troubleshooting device issues.</t>
  </si>
  <si>
    <t xml:space="preserve">   Intune - Co Management with ConfigMgr</t>
  </si>
  <si>
    <t xml:space="preserve">      ConfigMgr Update to current branch</t>
  </si>
  <si>
    <t>Upgrading to latest builds of ConfigMgr not only provides the latest functionality and compatibility but also open ups the option of co-management</t>
  </si>
  <si>
    <t xml:space="preserve">      ConfigMgr Cloud Management Gateway</t>
  </si>
  <si>
    <t>A Cloud management gateway is effectively a cloud based distribution point allowing ConfigMgr managed devices to receive configuration, apps and updates without the need to VPN into your on-premises environment. This can reduce your surface area of attack whilst allowing for management of devices off network</t>
  </si>
  <si>
    <t xml:space="preserve">      Co-Management Configuration</t>
  </si>
  <si>
    <t>Co-management effectively splits what tasks can be managed via the cloud and what can be managed on-premises. This allows an organisation to get the best of both worlds and eases the transition to modern management</t>
  </si>
  <si>
    <t>Co-management effectively splits what tasks can be managed via the cloud and what can be managed on-premises. This allows an organization to get the best of both worlds and eases the transition to modern management</t>
  </si>
  <si>
    <t xml:space="preserve">      Suggestion - Migrate Apps to Intune</t>
  </si>
  <si>
    <t>Migrating apps to Microsoft Endpoint Manager can reduce your ConfigMgr footprint on-premises whilst still be able to effectively manage devices wherever they are. There can be significant cost savings in reducing ConfigMgr infrastructure, be that Server infrastructure, SQL infrastructure, backups and DR and all the management overhead that goes with them.</t>
  </si>
  <si>
    <t xml:space="preserve">   Suggestion - SME Review of Intune Configuration</t>
  </si>
  <si>
    <t>Devices, their configuration, state and health attestation are key to a secure and productive environment in line with Zero Trust. Having professional services review your configuration can help ensure you are getting the most from Microsoft Endpoint Manager and operating as efficiently as possible</t>
  </si>
  <si>
    <t xml:space="preserve">   Window 10/11 Rollout and Features</t>
  </si>
  <si>
    <t xml:space="preserve">      Windows 10/11 Deployment</t>
  </si>
  <si>
    <t>Windows 10 and onwards provides the most feature rich and most secure operating systems. It natively supports the latest security features as they are built into the Operating System, such as Defender for Endpoints. Migrating to Windows 10 will also give you latest support, such as Autopilot and modern management. Moving away from legacy operating systems (Windows 8.1 and below) should improve operational efficiencies in end user compute as well as improve productivity with the end users</t>
  </si>
  <si>
    <t xml:space="preserve">      Suggestion - Windows 10 Evergreen Plan (WUfB)</t>
  </si>
  <si>
    <t>Windows Update for Business can improve operational efficiencies by breaking updates into rings of deployment, with internal rings covering most of your estates device types and apps via the least number of users. This also means you can control Windows updates as has been done with WSUS and ConfigMgr but without having to hairpin traffic through a VPN (adding load to the VPN and negatively impacting performance). This is also a requirement for Autopatch</t>
  </si>
  <si>
    <t xml:space="preserve">      Consideration - Windows Autopatch</t>
  </si>
  <si>
    <t>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organisation stay more secure and up to date with minimal effort. This service works inline with Desktop App Assure, giving assurance Windows Updates will not break applications and processes.</t>
  </si>
  <si>
    <t>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organization stay more secure and up to date with minimal effort. This service works inline with Desktop App Assure, giving assurance Windows Updates will not break applications and processes.</t>
  </si>
  <si>
    <t xml:space="preserve">      Consideration - Desktop App Assure</t>
  </si>
  <si>
    <t>Desktop App Assure is a FastTrack service (no additional cost) that will work your teams, application vendors and the Windows teams to get any app working should a Windows Update break functionality of an application. This should remove concerns of staying evergreen in Windows and Office (and therefore reduce vulnerabilities and risk in your environment)</t>
  </si>
  <si>
    <t xml:space="preserve">      AutoPilot Configuration</t>
  </si>
  <si>
    <t>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organisations configuration. This also means devices can be "reimaged" remotely, wiped back down the bare Windows installation (with drivers) and built back to your organisation image without ever being physically touch by admins. This can create cost savings in logistics, man hours and all the infrastructure to support the wipe and reload process</t>
  </si>
  <si>
    <t>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organizations configuration. This also means devices can be "reimaged" remotely, wiped back down the bare Windows installation (with drivers) and built back to your organization image without ever being physically touch by admins. This can create cost savings in logistics, man hours and all the infrastructure to support the wipe and reload process</t>
  </si>
  <si>
    <t xml:space="preserve">      Windows 10/11 Features</t>
  </si>
  <si>
    <t xml:space="preserve">         Windows LAPS (Cloud LAPS, preview)</t>
  </si>
  <si>
    <t>Windows Local Administrator Password Solution (Windows LAPS) is a Windows feature that automatically manages and backs up the password of a local administrator account on Microsoft Entra joined or Windows Server Active Directory-joined devices. It is also possible to use Windows LAPS to automatically manage and back up the Directory Services Restore Mode (DSRM) account password on Windows Server Active Directory domain controllers. Windows LAPS is now native to Windows and can be managed from Intune. The use of Windows LAPS can make it very difficult for attacks to move laterally using local administrator password (pass the hash attacks)</t>
  </si>
  <si>
    <t xml:space="preserve">         Windows Hello (for Business)</t>
  </si>
  <si>
    <t>Can improve the user sign in experience whilst also improving security (as the device becomes the second factor of authentication). This can significantly reduce the number of MFA prompts user receive as well as reducing password usage. This can be seen as path to passwordless</t>
  </si>
  <si>
    <t xml:space="preserve">         Microsoft Defender for Endpoints Plan 1</t>
  </si>
  <si>
    <t>Microsoft Defender AV is currently rated as one of the top AV solutions. Defender for Endpoints P1 is included in E3, one the most commonly used enterprise license and brings central control, reporting and response. These additional features make Defender for Endpoints a very viable and cheap (already included in license) replacement of third party AV solutions</t>
  </si>
  <si>
    <t xml:space="preserve">         Microsoft Defender Credential Guard</t>
  </si>
  <si>
    <t>Microsoft Defender Credential guard makes attackers lateral movement significantly harder. This can significantly reduce risk and potentially mitigate attacks that use lateral movement (such as ransomware attacks). Included in Windows 10 Enterprise and above</t>
  </si>
  <si>
    <t xml:space="preserve">         Microsoft Defender System Guard</t>
  </si>
  <si>
    <t>Reduces risk by blocking attackers using boot-level malware, where an attacker can gain optimum advantage over a device. Effectively, it maintains, and validates, the integrity of the Windows Operating system.</t>
  </si>
  <si>
    <t xml:space="preserve">         Microsoft Defender Exploit Guard (ASR Rules)</t>
  </si>
  <si>
    <t>Attack Surface Reduction rules can block certain processes and activities from acting on a Windows device before any detection or protection controls are required. ASR rules include (but not limited to) blocking macros that call upon non-Office applications or blocking non-whitelisted applications from writing into protected directories (such as ransomware). Effective use of ASR rules can significantly improve your secure posture, potentially wiping out entire classes of threats, which can also reduce noise for Security Analysts</t>
  </si>
  <si>
    <t xml:space="preserve">         Microsoft Defender Application Control (Code Integrity)</t>
  </si>
  <si>
    <t>Application control flips the traditional model of assuming all apps are trustworthy to one where applications must earn trust. This can effectively block unwanted applications such as malware (exe, dll etc.) or vulnerable applications from running. Although extensive black and whitelists can be used, Application Control can also garner the reputation of an application from the Intelligent Security Graph and automatically block or allow them. This can greatly reduce the operational effort of managing an application control service whilst also significantly reducing the risk of compromise.</t>
  </si>
  <si>
    <t xml:space="preserve">         Microsoft Defender Application Guard - Edge (for Admins)</t>
  </si>
  <si>
    <t>Application Guard for Edge creates a virtualised browser session, separate from the parent OS, that users can interact with like a normal Edge browser window. Once this windows is closed, all data associated with that session is removed leaving nothing for an attacker to replay or re-use. This can be seen as a step towards Privileged Access Workstations (PAWs) reducing the risk of lateral movement and privilege escalation via s compromised device</t>
  </si>
  <si>
    <t xml:space="preserve">         Web Content Filtering (MDE-MDCA)</t>
  </si>
  <si>
    <t>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organisation (such as out of policy or cloud apps that do not comply to your regulatory needs).</t>
  </si>
  <si>
    <t>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organization (such as out of policy or cloud apps that do not comply to your regulatory needs).</t>
  </si>
  <si>
    <t xml:space="preserve">         Unified Write Filter</t>
  </si>
  <si>
    <t>The Unified Write Filter is aim at kiosk devices or devices that the general public use. Effectively, the Unified Write Filter creates an "overlay" where all changes made the disk are stored during a user session. When the use logs off or restarts the devices, the overlay is wiped and the device goes back to it's original state prior to sign on.</t>
  </si>
  <si>
    <t xml:space="preserve">         Windows Firewall (Advanced Configuration)</t>
  </si>
  <si>
    <t>Beyond the obvious of controlling inbound and outbound traffic on directly on a device, the Windows Firewall can also be used as response action for Defender for Endpoints. Should a device be under threat, admins can isolate a device, blocking all inbound and outbound traffic expect to those of remediation sources - stopping an attack spreading. This can also be true for Threat and Vulnerability Management to stop all protected devices sending or receiving traffic to rouge devices on a network.</t>
  </si>
  <si>
    <t xml:space="preserve">         BitLocker</t>
  </si>
  <si>
    <t>BitLocker provides full disk encryption. Without the encryption key, an attacker cannot directly access data on a disk drive potentially preventing data leaks. These encryption keys can be managed and stored centrally via Microsoft Entra ID or your own Active Directory</t>
  </si>
  <si>
    <t xml:space="preserve">   Windows 365</t>
  </si>
  <si>
    <t>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organisation.</t>
  </si>
  <si>
    <t>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organization.</t>
  </si>
  <si>
    <t xml:space="preserve">   Microsoft Defender for Endpoints (MDE) Plan 2</t>
  </si>
  <si>
    <t>Effective configuration of Defender for Endpoints and its prerequisites can significantly improve your security posture, reduce noise in alerts and increase your ability to effectively respond to threats.</t>
  </si>
  <si>
    <t>The Endpoint Attack Notification capability provides proactive hunting for the most important threats to your network. The Microsoft Defender Experts hunt for human adversary intrusions, hands-on-keyboard attacks, and advanced attacks, such as cyberespionage. These notifications will show up as a new alert. Your threat feed is anonymized before sent to the Microsoft Threat Intelligence Center (MSTIC).</t>
  </si>
  <si>
    <t>The Defender for Endpoints agent is already built into Windows 10 and above and simply needs to be turned on and tied to the correct tenant. Since Defender for Endpoints is built into the Operating System natively, there is potentially reduced performance overheads, deep integration into the OS without disruptive installs. The native integration also means Defender for Endpoints can detect third party Anti Malware services running and drop into a passive mode without negatively affecting performance. This means Defender for Endpoints can be rapidly deployed with non-disruptive installations or restarts.</t>
  </si>
  <si>
    <t>The latest version on the Mac OS agent has a significantly smaller footprint and quicker installs. All Mac OS devices can be grouped and managed with any other devices in Defender for Endpoints.</t>
  </si>
  <si>
    <t>Protection for Android is included in the Microsoft Defender for Endpoints user licensing, where user can have five concurrent devices protected under their single user license. Deployment is zero touch for managed devices via Microsoft Endpoint Manager (Intune). Capabilities include malware detection (malicious apps), web protection, Threat and Vulnerability Management, Network Protection (rouge WiFi access points etc.), Device risk based conditional access/conditional launch all with unified alerting into security.microsoft.com</t>
  </si>
  <si>
    <t>Protection for iOS is included in the Microsoft Defender for Endpoints user licensing, where user can have five concurrent devices protected under their single user license. Deployment is zero touch for managed devices via Microsoft Endpoint Manager (Intune). Capabilities include malware detection, Jailbreak detection, web protection, Threat and Vulnerability Management, Network Protection (rouge WiFi access points etc.), Device risk based conditional access/conditional launch all with unified alerting into security.microsoft.com</t>
  </si>
  <si>
    <t>Microsoft Defender for Endpoints for Servers provides MDE P2 functionality for servers from Server 2008R2 and above, as well as Linux servers. It is an effective way to license servers on a per node basis and would be targeted and servers outside of Azure</t>
  </si>
  <si>
    <t>Threat and Vulnerability Management is essential in closing off risk before an attacker can take advantage of it. Microsoft Defender for Endpoints Threat and Vulnerability Management (TVM) helps prioritise the vulnerabilities and can then create infrastructure driven tasks to update software or deploy patches via Microsoft Endpoint Manager</t>
  </si>
  <si>
    <t>Microsoft Defender Vulnerability Management builds up Microsoft Defender for Endpoints Threat and Vulnerability Management adding assessment of Certificates, Browser Plug-ins, unmanaged endpoints, analysis of network shares. Additionally, it adds Security baselines and the ability to block vulnerable applications from running</t>
  </si>
  <si>
    <t xml:space="preserve">    Microsoft Defender for Cloud</t>
  </si>
  <si>
    <t xml:space="preserve">      Azure Arc</t>
  </si>
  <si>
    <t>Azure Arc allows any server outside of Azure to be surfaced in the Azure control plane. This allows for centralised management, including Security and Compliance controls within Defender for Cloud, for all servers wherever they reside, be that in Azure, AWS, GCP or on-premises. When used with Defender for Cloud only, there is zero cost to Azure Arc.</t>
  </si>
  <si>
    <t xml:space="preserve">      Process - Assess Foundation CSPM Capabilities</t>
  </si>
  <si>
    <t>Defender for Cloud Foundation Cloud Security Posture Management (CSPM) is for all services that have been surfaced into the Azure control plane, including virtual machines outside of Azure via Azure Arc. Foundation CSPM helps an organisation identify and perform the standard hardening tasks recommended as security best practices and implement them across your machines, data services, and apps. The Foundation CSPM recommendations are presented at zero cost.</t>
  </si>
  <si>
    <t>Defender for Cloud Foundation Cloud Security Posture Management (CSPM) is for all services that have been surfaced into the Azure control plane, including virtual machines outside of Azure via Azure Arc. Foundation CSPM helps an organization identify and perform the standard hardening tasks recommended as security best practices and implement them across your machines, data services, and apps. The Foundation CSPM recommendations are presented at zero cost.</t>
  </si>
  <si>
    <t xml:space="preserve">      Microsoft Defender Cloud Security Posture Management</t>
  </si>
  <si>
    <t>Defender Cloud Security Posture Management (CSPM) is for all services that have been surfaced into the Azure control plane, including virtual machines outside of Azure via Azure Arc. Defender CSPM helps an organisation identify and perform the hardening tasks recommended as security best practices and implement them across your machines, data services, and apps. Defender CPSM can provide deeper recommendations and response action via paid for workloads (such as Defender for Servers)</t>
  </si>
  <si>
    <t>Defender Cloud Security Posture Management (CSPM) is for all services that have been surfaced into the Azure control plane, including virtual machines outside of Azure via Azure Arc. Defender CSPM helps an organization identify and perform the hardening tasks recommended as security best practices and implement them across your machines, data services, and apps. Defender CPSM can provide deeper recommendations and response action via paid for workloads (such as Defender for Servers)</t>
  </si>
  <si>
    <t xml:space="preserve">      Microsoft Defender for Servers (P1)</t>
  </si>
  <si>
    <t>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organisations entire estate.</t>
  </si>
  <si>
    <t>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organizations entire estate.</t>
  </si>
  <si>
    <t xml:space="preserve">      Microsoft Defender for Servers (P2)</t>
  </si>
  <si>
    <t>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organisations conform to standards such as ISO 27001 or CIS controls.</t>
  </si>
  <si>
    <t>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organizations conform to standards such as ISO 27001 or CIS controls.</t>
  </si>
  <si>
    <t xml:space="preserve">      Microsoft Defender for Storage</t>
  </si>
  <si>
    <t>Microsoft Defender for Storage is an Azure-native layer of security intelligence that detects unusual and potentially harmful attempts to access or exploit an organisations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t>
  </si>
  <si>
    <t>Microsoft Defender for Storage is an Azure-native layer of security intelligence that detects unusual and potentially harmful attempts to access or exploit an organizations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t>
  </si>
  <si>
    <t xml:space="preserve">      Microsoft Defender for SQL</t>
  </si>
  <si>
    <t>The vulnerability assessment service discovers, tracks, and helps remediate potential database vulnerabilities. Assessment scans provide an overview of an SQL machines' security state, and details of any security findings, including detecting anomalous activities that could indicate threats to the databases. The advanced threat protection service continuously monitors SQL servers for threats such as SQL injection, brute-force attacks, and privilege abuse. This service provides action-oriented security alerts in Microsoft Defender for Cloud with details of the suspicious activity, guidance on how to mitigate to the threats, and options for continuing the investigations with Microsoft Sentinel. All alerts are surfaced into the Defender for Cloud console giving a unified view of security across your infrastructure. All alerts are surfaced into the Defender for Cloud console giving a unified view of security across your infrastructure</t>
  </si>
  <si>
    <t xml:space="preserve">      Microsoft Defender for Containers</t>
  </si>
  <si>
    <t>Microsoft Defender for Containers is the cloud-native solution that is used to secure your containers so you can improve, monitor, and maintain the security of your clusters, containers, and their applications. Defender for Containers assists you with the three core aspects of container security: Environmental Hardening; Vulnerability Assessment; Real-time threat protection for nodes and clusters. All alerts are surfaced into the Defender for Cloud console giving a unified view of security across your infrastructure</t>
  </si>
  <si>
    <t xml:space="preserve">      Microsoft Defender for Key Vault</t>
  </si>
  <si>
    <t>Azure Key Vault is a cloud service that safeguards encryption keys and secrets like certificates, connection strings, and passwords. Enabling Microsoft Defender for Key Vault for Azure-native, advanced threat protection for Azure Key Vault, providing an additional layer of security intelligence. All alerts are surfaced into the Defender for Cloud console giving a unified view of security across your infrastructure.</t>
  </si>
  <si>
    <t xml:space="preserve">      Microsoft Defender for Resource Manager</t>
  </si>
  <si>
    <t>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organisations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t>
  </si>
  <si>
    <t>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organizations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t>
  </si>
  <si>
    <t xml:space="preserve">      Microsoft Defender for Azure DNS</t>
  </si>
  <si>
    <t>Microsoft Defender for DNS provides an additional layer of protection for resources that use Azure DNS's Azure-provided name resolution capability. From within Azure DNS, Defender for DNS monitors the queries from these resources and detects suspicious activities without the need for any additional agents on your resources. All alerts are surfaced into the Defender for Cloud console giving a unified view of security across your infrastructure.</t>
  </si>
  <si>
    <t xml:space="preserve">      Microsoft Defender for App Service</t>
  </si>
  <si>
    <t>Azure App Service is a fully managed platform for building and hosting web apps and APIs. Microsoft Defender for App Service uses the scale of the cloud to identify attacks targeting applications running over App Service. Attackers probe web applications to find and exploit weaknesses. Before being routed to specific environments, requests to applications running in Azure go through several gateways, where they're inspected and logged. This data is then used to identify exploits and attackers, and to learn new patterns that will be used later. All alerts are surfaced into the Defender for Cloud console giving a unified view of security across your infrastructure.</t>
  </si>
  <si>
    <t xml:space="preserve">      Microsoft Defender for Open-Source Relational Databases</t>
  </si>
  <si>
    <t>Microsoft Defender for open-source relational databases bring threat protection for to Azure Database for PostgreSQL, Azure Database for MySQL and Azure Database for MariaDB. The service detects anomalous activities indicating unusual and potentially harmful attempts to access or exploit databases. The service makes it simple to address potential threats to databases without the need to be a security expert or manage advanced security monitoring systems. All alerts are surfaced into the Defender for Cloud console giving a unified view of security across your infrastructure.</t>
  </si>
  <si>
    <t xml:space="preserve">      Microsoft Defender for DevOps (Preview)</t>
  </si>
  <si>
    <t>Microsoft Defender for Cloud enables comprehensive visibility, posture management, and threat protection across multicloud environments including Azure, AWS, GCP, and on-premises resources. Defender for DevOps, a service available in Defender for Cloud, empowers security teams to manage DevOps security across multi-pipeline environments. Defender for DevOps uses a central console to empower security teams with the ability to protect applications and resources from code to cloud across multi-pipeline environments, such as GitHub and Azure DevOps. Findings from Defender for DevOps can then be correlated with other contextual cloud security insights to prioritise remediation in code.</t>
  </si>
  <si>
    <t xml:space="preserve">      Microsoft Defender for IoT</t>
  </si>
  <si>
    <t>The Internet of Things (IoT) supports billions of connected devices that use operational technology (OT) networks. IoT/OT devices and networks are often designed without prioritizing security, and therefore can't be protected by traditional systems. With each new wave of innovation, the risk to IoT devices and OT networks increases the possible attack surfaces. Microsoft Defender for IoT is a unified security solution for identifying IoT and OT devices, vulnerabilities, and threats. With Defender for IoT, you can manage them through a central interface. All alerts are surfaced into the Defender for Cloud console giving a unified view of security across your infrastructure.</t>
  </si>
  <si>
    <t xml:space="preserve">   Azure Network Protection (paid for workloads)</t>
  </si>
  <si>
    <t xml:space="preserve">      Azure Firewall</t>
  </si>
  <si>
    <t>Azure Firewall is a cloud-native and intelligent network firewall security service that provides the best of breed threat protection for cloud workloads running in Azure. It's a fully stateful, firewall as a service with built-in high availability and unrestricted cloud scalability. It provides both east-west and north-south traffic inspection. Using Azure P2S and S2S VPNs, all traffic can be routed through Azure Firewall to give a complete view of all network traffic. These alerts can be surface in Defender for Cloud console giving a unified view of security across your infrastructure.</t>
  </si>
  <si>
    <t xml:space="preserve">      Azure DDoS Protection (Standard)</t>
  </si>
  <si>
    <t>Distributed denial of service (DDoS) attacks are some of the largest availability and security concerns facing organisations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t>
  </si>
  <si>
    <t>Distributed denial of service (DDoS) attacks are some of the largest availability and security concerns facing organizations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t>
  </si>
  <si>
    <t xml:space="preserve">      Azure Web Application Firewall</t>
  </si>
  <si>
    <t>Web Application Firewall (WAF) provides centralized protection of your web applications from common exploits and vulnerabilities. Web applications are increasingly targeted by malicious attacks that exploit commonly known vulnerabilities. SQL injection and cross-site scripting are among the most common attacks. Preventing such attacks in application code is challenging. It can require rigorous maintenance, patching, and monitoring at multiple layers of the application topology. A centralised web application firewall helps make security management much simpler. A WAF also gives application administrators better assurance of protection against threats and intrusions. A WAF solution can react to a security threat faster by centrally patching a known vulnerability, instead of securing each individual web application.</t>
  </si>
  <si>
    <t xml:space="preserve">      Azure Web Application Gateway (v2)</t>
  </si>
  <si>
    <t xml:space="preserve">      Azure Front Door</t>
  </si>
  <si>
    <t>Azure Front Door is Microsoft’s modern cloud Content Delivery Network (CDN) that provides fast, reliable, and secure access between an organisations users and their applications’ static and dynamic web content across the globe. Azure Front Door delivers your content using the Microsoft’s global edge network with hundreds of global and local POPs distributed around the world close to both enterprise and consumer end users.</t>
  </si>
  <si>
    <t>Azure Front Door is Microsoft’s modern cloud Content Delivery Network (CDN) that provides fast, reliable, and secure access between an organizations users and their applications’ static and dynamic web content across the globe. Azure Front Door delivers your content using the Microsoft’s global edge network with hundreds of global and local POPs distributed around the world close to both enterprise and consumer end users.</t>
  </si>
  <si>
    <t xml:space="preserve">      Azure Bastion</t>
  </si>
  <si>
    <t>Bastion provides secure RDP and SSH connectivity to all of the VMs in the virtual network in which it is provisioned. Using Azure Bastion protects your virtual machines from exposing RDP/SSH ports to the outside world, while still providing secure access using RDP/SSH. Access to Bastion can be controlled via Microsoft Entra ID Roles and in turn Privileged Identity Management. This allows for both internal and external access with increased auditing, accountability and verification - especially helpful for agreed out of hours access by 3rd party support or partners.</t>
  </si>
  <si>
    <t xml:space="preserve">   Cloud Applications</t>
  </si>
  <si>
    <t xml:space="preserve">      Office 365</t>
  </si>
  <si>
    <t xml:space="preserve">         SharePoint/OneDrive/Teams Antimalware Protection (E3)</t>
  </si>
  <si>
    <t>The built in Antimalware protection provides a limited level of protection to data uploaded to SharePoint via OneDrive, Teams or SharePoint directly. It must be stressed that this service only provides periodic scanning that is signature based. It is recommended to look to more advanced protection via Defender for Office 365</t>
  </si>
  <si>
    <t xml:space="preserve">         Configure Defender for Office 365</t>
  </si>
  <si>
    <t xml:space="preserve">Defender for Office 365 provides signatureless based antimalware defence right from the edge of the Azure network down to the individual storage location for SharePoint, OneDrive, Teams and Exchange Online. This protects both internal and external traffic. As the service is built as part of Office 365, it can retrospectively remove items that are later proven to be malicious. Defender for Office 365 uses sandboxing, A.I. and machine learning for files and URLs to detect and remediate known and zero day threats. Defender for Office 365 is fully integrated into Microsoft 365 Defender </t>
  </si>
  <si>
    <t xml:space="preserve">         Safe Documents (Application Guard)</t>
  </si>
  <si>
    <t>Safe Documents builds upon Application Guard and can isolate Microsoft Apps for Enterprise Applications. This is used to provide a protect view for documents opened from untrusted locations, such as those from email or downloaded from the internet. Should a document contain malware, such as ransomware, the malicious code would be detonated in the protected view which is isolated from the rest of the machine. Simply closing the protected view will remove files and settings associated with the session leaving the machine intact and unharmed.</t>
  </si>
  <si>
    <t xml:space="preserve">      Exchange Online</t>
  </si>
  <si>
    <t xml:space="preserve">         Exchange Online Protection</t>
  </si>
  <si>
    <t xml:space="preserve">All traffic in Exchange Online, be that internal or external, all goes through Exchange Online Protection (EOP). It is primarily responsible for SPAM filtering and content filtering. Additionally, EOP is responsible for transport rules which can manipulate and control mail flow, in turn providing granular controls and protection. Although it does provide anti-malware protection, this is signature based only and more advanced protection should be used via Defender for Office 365. </t>
  </si>
  <si>
    <t xml:space="preserve">         Attack Simulator (v2)</t>
  </si>
  <si>
    <t xml:space="preserve">Version 2 of the Attack Simulator is a complete solution for internal training around Email Based Compromise (EBC), such as Phishing. The Attack Simulator provides granular controls to target users for training as well as providing a number of templates that can be used and modified to launch attacks or prolonged training campaigns. Malicious Phishing emails can also be harvested and modified into simulated phishing for more realistic training. Training content is built into the service and is typically 1 minute to 7 minute videos. Since the Attack Simulator is built into Exchange Online, simulation emails do not have to bypass filtering </t>
  </si>
  <si>
    <t xml:space="preserve">         Secure External Mailflow (TLS, DKIM, DMARC, SPF)</t>
  </si>
  <si>
    <t>Sender reputation and mail server validation checks are vital to stop illegitimate emails reaching an organisations users mailbox. Transport Layer Security (TLS) encrypts traffic between mail servers helping to stop man-in-the-middle attacks. Configuration of these services, although not specific to Exchange Online, should be configured as a good practice</t>
  </si>
  <si>
    <t>Sender reputation and mail server validation checks are vital to stop illegitimate emails reaching an organizations users mailbox. Transport Layer Security (TLS) encrypts traffic between mail servers helping to stop man-in-the-middle attacks. Configuration of these services, although not specific to Exchange Online, should be configured as a good practice</t>
  </si>
  <si>
    <t xml:space="preserve">         Do allow anonymous calendar sharing</t>
  </si>
  <si>
    <t>Block anonymous calendar sharing can make reconnaissance harder for attacker as well as making targeted phishing emails more difficult. An attacker could potentially use information gathered from a users calendar to add legitimacy to their phishing emails. This should be considered a good practice</t>
  </si>
  <si>
    <t xml:space="preserve">         Block Client Forwarding rules</t>
  </si>
  <si>
    <t>Blocking client forwarding rules can stop users oversharing information or by-passing security controls. Forwarding rules can still be allowed via admin created transport rules. This should be considered a good practice</t>
  </si>
  <si>
    <t xml:space="preserve">         Configure transport rules to block known Ransomware file types</t>
  </si>
  <si>
    <t>Blocking known ransomware file types can stop potentially harmful documents arriving in a users mailbox. However, blocking outbound can prevent exfiltration of data by and attacker (who can decrypted the content), as well as users attempting to pay attackers which may violate company policy and potentially local or international laws.</t>
  </si>
  <si>
    <t xml:space="preserve">      Teams</t>
  </si>
  <si>
    <t xml:space="preserve">         Configure Teams External Access (Federation)</t>
  </si>
  <si>
    <t>For most organisations operating on a block list model for external communication will be an acceptable state - only if a domain is found to be undesirable it can be added to the Block list to prevent communication from that domain. However, organisations may wish to limit communication either to only specifically allowed external domains, or to block individual domains for communication. In this instance the organisation should use the Allowed list model to limit communication only to domains listed. It is good practice to configure external access in Microsoft Teams Admin Center with an Allowed list model.</t>
  </si>
  <si>
    <t>For most organizations operating on a block list model for external communication will be an acceptable state - only if a domain is found to be undesirable it can be added to the Block list to prevent communication from that domain. However, organizations may wish to limit communication either to only specifically allowed external domains, or to block individual domains for communication. In this instance the organization should use the Allowed list model to limit communication only to domains listed. It is good practice to configure external access in Microsoft Teams Admin Center with an Allowed list model.</t>
  </si>
  <si>
    <t xml:space="preserve">         Configure Teams Guest Access</t>
  </si>
  <si>
    <t>Guest access in Teams allows someone who isn’t a member of your organisation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organisations to allow the use of Guest accounts. Guest accounts should be restricted to permissions and membership of their own directory objects. Guest invites are only sent from specific admin roles.</t>
  </si>
  <si>
    <t>Guest access in Teams allows someone who isn’t a member of your organization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organizations to allow the use of Guest accounts. Guest accounts should be restricted to permissions and membership of their own directory objects. Guest invites are only sent from specific admin roles.</t>
  </si>
  <si>
    <t xml:space="preserve">   Identity</t>
  </si>
  <si>
    <t xml:space="preserve">      Defender for Identity</t>
  </si>
  <si>
    <t>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organisation.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organisations Active Directory as well as providing response actions in breach scenarios.</t>
  </si>
  <si>
    <t>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organization.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organizations Active Directory as well as providing response actions in breach scenarios.</t>
  </si>
  <si>
    <t xml:space="preserve">      Microsoft Defender for Cloud Apps (Threat Protection)</t>
  </si>
  <si>
    <t>The Threat Protection component of Microsoft Defender for Cloud Apps gives a risk score around users activities and then provides a single view of user; amalgamating their on-premises and cloud based activities into a single actionable timeline. This can significantly reduce the time between the detection of an attack and it's remediation (Mean time to Remediation).</t>
  </si>
  <si>
    <t xml:space="preserve">   XDR (eXtended Detect and Response</t>
  </si>
  <si>
    <t xml:space="preserve">      Confirm M365 Defender is Enabled</t>
  </si>
  <si>
    <t>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analyse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t>
  </si>
  <si>
    <t>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analyze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t>
  </si>
  <si>
    <t xml:space="preserve">   Microsoft Defender Threat Intelligence</t>
  </si>
  <si>
    <t>Microsoft Defender Threat Intelligence (Defender TI) is a platform that streamlines triage, incident response, threat hunting, vulnerability management, and cyber threat intelligence analyst workflows when conducting threat infrastructure analysis and gathering threat intelligence. Typically when gathering threat intelligence data, security teams have to look to multiple sources whilst also constantly re-prioritizing what they have to tackle. Defender TI streamlines this process giving security teams automatically sourced and collated threat intelligence greatly saving time and improving their ability to respond.</t>
  </si>
  <si>
    <t xml:space="preserve">   Microsoft Defender External Attack Surface Management</t>
  </si>
  <si>
    <t>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organisation.</t>
  </si>
  <si>
    <t>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organization.</t>
  </si>
  <si>
    <t xml:space="preserve">   Microsoft Sentinel</t>
  </si>
  <si>
    <t>Microsoft Sentinel is a scalable, cloud-native solution that provides: Security information and event management (SIEM) and Security orchestration, automation, and response (SOAR). Microsoft Sentinel delivers intelligent security analytics and threat intelligence across the enterprise. With Microsoft Sentinel, you get a single solution for attack detection, threat visibility, proactive hunting, and threat response. In short, Microsoft Sentinel is your bird's-eye view across the enterprise alleviating the stress of increasingly sophisticated attacks, increasing volumes of alerts, and long resolution time frames.</t>
  </si>
  <si>
    <t xml:space="preserve">   Labelling and Classification: Microsoft Purview Information Protection</t>
  </si>
  <si>
    <t xml:space="preserve">      Process - Define Classification Schema</t>
  </si>
  <si>
    <t>Defining an organisations Classification Schema is the first step in understand their data and getting their data in to know state. Being able to articulate and quantify what is  important to an organisation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t>
  </si>
  <si>
    <t>Defining an organizations Classification Schema is the first step in understand their data and getting their data in to know state. Being able to articulate and quantify what is  important to an organization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t>
  </si>
  <si>
    <t xml:space="preserve">      Define Sensitive Information Types</t>
  </si>
  <si>
    <t>The Sensitive Information Type is effectively the patterns within data Microsoft services look for, such as credit card numbers which contain 15 or 16 digits and may have the words AMEX or VISA around them. Defining the sensitive information types for an organisation effectively allows them to translate what is important to them into Technology. In turn this allows services (technology) to enforce policies and controls around data that contains information that is important/sensitive to an organisation.</t>
  </si>
  <si>
    <t>The Sensitive Information Type is effectively the patterns within data Microsoft services look for, such as credit card numbers which contain 15 or 16 digits and may have the words AMEX or VISA around them. Defining the sensitive information types for an organization effectively allows them to translate what is important to them into Technology. In turn this allows services (technology) to enforce policies and controls around data that contains information that is important/sensitive to an organization.</t>
  </si>
  <si>
    <t xml:space="preserve">      Microsoft Purview Information Protection - Manual Sensitive Labelling</t>
  </si>
  <si>
    <t>Organisations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t>
  </si>
  <si>
    <t>organizations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t>
  </si>
  <si>
    <t xml:space="preserve">      Microsoft Purview Information Protection - Auto Labelling conditions</t>
  </si>
  <si>
    <t>Automated labelling can the burden of labelling off end users and help reduce user error when classifying documents and does this through identification of Sensitive Information Types in data. Labelling automation can present itself directly to the end user  through Microsoft Office (Apps for Enterprise) applications in the form of forced labelling or recommendations of labels based on content. This can help ensure the correct label is applied and in turn ensure an appropriate control is applied.</t>
  </si>
  <si>
    <t xml:space="preserve">      Advanced Classification - Trainable Classifiers</t>
  </si>
  <si>
    <t>Trainable classifiers can be used to identify data that is not quantifiable. For example, invoices can be easily quantified through the pattern of invoice numbers, however contracts cannot be so easily quantified, especially when differentiating between different types of contracts (such as employee, commercial or vendor contracts). Trainable Classifiers can be used to understand how contracts are constructed, the relationships of words and context amongst other indicators and then refined through training with known good and known bad samples. This can include images, such as photos of credit cards. Although Trainable classifiers take some time to create, they can remove the burden off the end user of defining the correct classification of complex documents.</t>
  </si>
  <si>
    <t xml:space="preserve">      Advanced Classification - Exact Data Match and Configurable Data Match</t>
  </si>
  <si>
    <t>Exact Data Match (EDM) is used to create a dynamic Sensitive Information Type that is based on the content of a sequential database. Rather than having to define each type of data within a database - such as names, addresses, reference numbers etc. - EDM can detect is data has been directly copied from the database and apply a control based on this Sensitive Information Type. EDM can refresh it's index of content on a daily basis and scan over one hundred million rows of data from a single database in a night, dynamically refreshing the Sensitive Information Type. This can help protect highly sensitive data as well as easing the burden on end users when determining the appropriate classification of data from the database.</t>
  </si>
  <si>
    <t xml:space="preserve">      Microsoft Defender for Cloud Apps (Shadow IT)</t>
  </si>
  <si>
    <t>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organisation, rationalise these and then provide controls by sanctioning acceptable apps and unsanctioning risky apps. When coupled with outputs from Content Explorer and the Labelling scanner, an organisation can quantify the risk of data leakage (by comparing who has access to sensitive data and see where it is going)</t>
  </si>
  <si>
    <t>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organization, rationalise these and then provide controls by sanctioning acceptable apps and unsanctioning risky apps. When coupled with outputs from Content Explorer and the Labelling scanner, an organization can quantify the risk of data leakage (by comparing who has access to sensitive data and see where it is going)</t>
  </si>
  <si>
    <t xml:space="preserve">      Microsoft Purview Labelling Scanner - Discovery Only</t>
  </si>
  <si>
    <t>It is typically a fair assumption for most organisations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t>
  </si>
  <si>
    <t>It is typically a fair assumption for most organizations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t>
  </si>
  <si>
    <t xml:space="preserve">      Microsoft Purview Labelling Scanner - classify/label/protect unstructured file data</t>
  </si>
  <si>
    <t>The Microsoft Purview Labelling Scanner can be used to classify, label and protect documents based on auto labelling conditions, which are in turn based on Sensitive Information types. The scanner can run continuously, labelling data that needs to reside in on-premises shares, such as data for line of business apps. Labelled data can be protected by Microsoft 365 DLP using the meta data values  to trigger rules.</t>
  </si>
  <si>
    <t xml:space="preserve">      Content Explorer and Activity Explorer</t>
  </si>
  <si>
    <t>Content explorer shows a current snapshot of the items that have a sensitivity label, a retention label or have been classified as a sensitive information type in your organisation. This can make it very easy to understand where an organisations sensitive data is stored in Microsoft 365.</t>
  </si>
  <si>
    <t>Content explorer shows a current snapshot of the items that have a sensitivity label, a retention label or have been classified as a sensitive information type in your organization. This can make it very easy to understand where an organizations sensitive data is stored in Microsoft 365.</t>
  </si>
  <si>
    <t xml:space="preserve">   Data Loss Prevention</t>
  </si>
  <si>
    <t xml:space="preserve">      Set Organisation Level External Sharing settings</t>
  </si>
  <si>
    <t>The Organisational External Sharing settings allows organisations to control their guest (external) access to SharePoint and OneDrive, in turn controlling guest management. Although the setting is at the organisation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t>
  </si>
  <si>
    <t>The organizational External Sharing settings allows organizations to control their guest (external) access to SharePoint and OneDrive, in turn controlling guest management. Although the setting is at the organization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t>
  </si>
  <si>
    <t>Organisations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t>
  </si>
  <si>
    <t>organizations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t>
  </si>
  <si>
    <t>Force a pop up in Outlook when a user attempts to share sensitive data in a way that matches the respective DLP control, which user can optionally override with justiifcation. This forces the user to check recipients before sending. Suggesting using catch all conditons and the "NOT" condition for exclusions (i.e., no pop up when sending to trusted partners)</t>
  </si>
  <si>
    <t>Microsoft Purview Message Encryption (MPME, formally OME) can be used to send individually protected emails that only the intended recipients can view or action. Emails that organisations have protected with MPME effectively remain under that organisations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t>
  </si>
  <si>
    <t>Microsoft Purview Message Encryption (MPME, formally OME) can be used to send individually protected emails that only the intended recipients can view or action. Emails that organizations have protected with MPME effectively remain under that organizations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t>
  </si>
  <si>
    <t>Apply branding to messages forces the linked experince rather than the inline experience for recipients. Not only does this create a common user experince, but most importantly linked messages can be revoked by the sender  and the sending organisations admins</t>
  </si>
  <si>
    <t>Apply branding to messages forces the linked experince rather than the inline experience for recipients. Not only does this create a common user experince, but most importantly linked messages can be revoked by the sender  and the sending organizations admins</t>
  </si>
  <si>
    <t xml:space="preserve">      Teams Data Loss Prevention</t>
  </si>
  <si>
    <t>Teams Data Loss Prevention extends Microsoft Purview Data Loss Prevention to Teams chat and channels. As an example, you can apply controls when someone attempts to share sensitive information in a Teams chat or channel with guests (external users). If you have a DLP policy defined to prevent this, messages with sensitive information that are sent to external users are deleted. This happens automatically, and within seconds, according to how your DLP policy is configured.</t>
  </si>
  <si>
    <t xml:space="preserve">      Endpoint Data Loss Prevention</t>
  </si>
  <si>
    <t>Endpoint data loss prevention (Endpoint DLP) extends the activity monitoring and protection capabilities of Microsoft Purview DLP to sensitive items that are physically stored on Windows 10, Windows 11, and macOS (three latest released versions) devices. Once devices are onboarded into the Microsoft Purview solutions - or via Microsoft Defender for Endpoints Plan 2. Once a device is onboarded, Endpoint DLP will detect when sensitive items are used and shared. Activities include copying sensitive data to the clipboard, copying data to unmanaged storage such as USB devices or Bluetooth devices, or to unsanctioned applications, both on the device and in the cloud. This gives you the visibility and control you need to ensure that they are used and protected properly, and to help prevent risky behaviour that might compromise them.</t>
  </si>
  <si>
    <t xml:space="preserve">      On-premises Data Loss Prevention</t>
  </si>
  <si>
    <t>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organisation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t>
  </si>
  <si>
    <t>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organization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t>
  </si>
  <si>
    <t>Employees now have more access to create, manage, and share data across a broad spectrum of platforms and services. In most cases, organisations have limited resources and tools to identify and mitigate organisation-wide risks while also meeting compliance requirements and employee privacy standards. These risks include potential data theft by departing employees and risk of data leaks of information outside your organisation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t>
  </si>
  <si>
    <t>Employees now have more access to create, manage, and share data across a broad spectrum of platforms and services. In most cases, organizations have limited resources and tools to identify and mitigate organization-wide risks while also meeting compliance requirements and employee privacy standards. These risks include potential data theft by departing employees and risk of data leaks of information outside your organization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t>
  </si>
  <si>
    <t>Prevent users for taking actions, either malicously or accidentally which could be considered as risky - such as downloading a volume of content or sharing excessively. Adaptive DLP controls apply on the users risk score from Insider Risk Management. Appropriate controls can be applied based risk levels, such as policy tips only for low level risk, overrides required for medium level and block at high risk.</t>
  </si>
  <si>
    <t xml:space="preserve">   Data Lifecycle Management</t>
  </si>
  <si>
    <t>The Microsoft Purview data map provides the foundation for data discovery and data governance. It captures metadata about data present in analytics, software-as-a-service (SaaS), and operation systems in hybrid, on-premises, and multi-cloud environments. The Microsoft Purview Data Map stays up to date with its built-in scanning and classification system. All Microsoft Purview accounts have a data map that elastically grow starting at one capacity unit (1 CU = 10GB of meta data and up to 25 operations/sec). They scale up and down based on request load and metadata stored within the data map. Microsoft Purview Data Map can also track data lineage (Data lineage is broadly understood as the lifecycle that spans the data’s origin, and where it moves over time across the data estate) and Data Classification (Data classification in the Microsoft Purview governance portal is a way of categorizing data assets by assigning unique logical tags or classes to the data assets. Classification is based on the business context of the data).</t>
  </si>
  <si>
    <t xml:space="preserve">      Microsoft Purview Data Catalogue</t>
  </si>
  <si>
    <t>After data is scanned and ingested into the Azure Purview Data Map, data consumers need to easily find the data needed for their analytics or governance workloads. Data discovery can be time-consuming because a user might not know where to find the wanted data. Even after finding the data, there might be doubts about whether to trust and take a dependency on it. Through search and browse, the Azure Purview Data Catalogue allows for quickly finding data that matters. The Purview relevance engine sorts through all the matches and ranks them based on what it believes their usefulness is to a user. For example, a table that matches on multiple keywords that a data steward has assigned glossary terms to and given a description is likely going to be more interesting to a data consumer than a folder that has been unannotated. A large set of factors go into an asset’s relevance score, and the Purview search team is constantly tuning the relevance engine to ensure the top search results have the most value to the user.</t>
  </si>
  <si>
    <t xml:space="preserve">      Microsoft Purview Data Connectors</t>
  </si>
  <si>
    <t>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organisations to discover, monitor and protect assets across their entire data estate.</t>
  </si>
  <si>
    <t>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organizations to discover, monitor and protect assets across their entire data estate.</t>
  </si>
  <si>
    <t xml:space="preserve">      Microsoft Purview Data Lifecycle Management (Retention Labelling)</t>
  </si>
  <si>
    <t>For most organisations,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organisation to share knowledge effectively and be more agile by ensuring that your users work only with content that's current and relevant to them. Retention settings that an organisation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t>
  </si>
  <si>
    <t>For most organizations,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organization to share knowledge effectively and be more agile by ensuring that your users work only with content that's current and relevant to them. Retention settings that an organization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t>
  </si>
  <si>
    <t xml:space="preserve">      Microsoft Purview Records Management</t>
  </si>
  <si>
    <t>A records management system is a solution to manage regulatory, legal, and business-critical records. Records management for Microsoft Purview helps organisation's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t>
  </si>
  <si>
    <t>A records management system is a solution to manage regulatory, legal, and business-critical records. Records management for Microsoft Purview helps organization's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t>
  </si>
  <si>
    <t xml:space="preserve">      Microsoft Priva Subject Rights Requests</t>
  </si>
  <si>
    <t>Privacy is top of mind for most organisations, and concerns about how private data is handled are steadily increasing. Regulations and laws such as the EU's General Data Protection Regulation (GDPR) and the California Consumer Privacy Act (CCPA) impact people around the world, setting rules for how organisations store personal data and giving people rights to manage personal data collected by an organisation. To meet regulatory requirements and build customer trust, organisations need to take a "privacy by default" stance. Rather than manual processes and a patchwork of tools, organisations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organisation can achieve their privacy goals.</t>
  </si>
  <si>
    <t>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t>
  </si>
  <si>
    <t xml:space="preserve">   Logging and Auditing</t>
  </si>
  <si>
    <t xml:space="preserve">      Microsoft Purview eDiscovery (Standard)</t>
  </si>
  <si>
    <t>Microsoft Purview eDiscovery (Standard) in Microsoft Purview provides a basic eDiscovery tool that organisations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t>
  </si>
  <si>
    <t>Microsoft Purview eDiscovery (Standard) in Microsoft Purview provides a basic eDiscovery tool that organizations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t>
  </si>
  <si>
    <t xml:space="preserve">      Microsoft Purview eDiscovery (Premium)</t>
  </si>
  <si>
    <t>The Microsoft Purview eDiscovery (Premium) solution builds on the existing Microsoft eDiscovery and analytics capabilities. eDiscovery (Premium) provides an end-to-end workflow to preserve, collect, analyse, review, and export content that's responsive to an organisation's internal and external investigations. It also lets legal teams manage the entire legal hold notification workflow to communicate with custodians involved in a case. With the advanced tooling within eDiscovery (premium), organisations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t>
  </si>
  <si>
    <t>The Microsoft Purview eDiscovery (Premium) solution builds on the existing Microsoft eDiscovery and analytics capabilities. eDiscovery (Premium) provides an end-to-end workflow to preserve, collect, analyze, review, and export content that's responsive to an organization's internal and external investigations. It also lets legal teams manage the entire legal hold notification workflow to communicate with custodians involved in a case. With the advanced tooling within eDiscovery (premium), organizations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t>
  </si>
  <si>
    <t xml:space="preserve">      Risky Sign-ins Monitoring</t>
  </si>
  <si>
    <t>Microsoft Entra Risky Sign-Ins is a feature of Identity Protection, it provides organisations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Organisations can take advantage of the Microsoft Graph API integrations to aggregate data with other sources they may have access to as an organisation.</t>
  </si>
  <si>
    <t>Microsoft Entra Risky Sign-Ins is a feature of Identity Protection, it provides organizations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organizations can take advantage of the Microsoft Graph API integrations to aggregate data with other sources they may have access to as an organization.</t>
  </si>
  <si>
    <t xml:space="preserve">      Microsoft Purview Audit (Standard)</t>
  </si>
  <si>
    <t>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organisation. Thousands of user and admin operations performed in dozens of Microsoft 365 services and solutions are captured, recorded, and retained in an organisation's unified audit log. Users in the organisation can use the audit log search tool to search for, view, and export (to a CSV file) the audit records for these operations. Activity from an organisation recorded in Microsoft Purview Audit (Standard) is retained for 90 days and can be used for forensic investigation.</t>
  </si>
  <si>
    <t>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organization. Thousands of user and admin operations performed in dozens of Microsoft 365 services and solutions are captured, recorded, and retained in an organization's unified audit log. Users in the organization can use the audit log search tool to search for, view, and export (to a CSV file) the audit records for these operations. Activity from an organization recorded in Microsoft Purview Audit (Standard) is retained for 90 days and can be used for forensic investigation.</t>
  </si>
  <si>
    <t xml:space="preserve">      Microsoft Purview Audit (Premium)</t>
  </si>
  <si>
    <t>The Audit functionality in Microsoft Purview provides organisations with visibility into many types of audited activities across many different services in Microsoft 365. Microsoft Purview Audit (Premium) helps organisations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t>
  </si>
  <si>
    <t>The Audit functionality in Microsoft Purview provides organizations with visibility into many types of audited activities across many different services in Microsoft 365. Microsoft Purview Audit (Premium) helps organizations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t>
  </si>
  <si>
    <t xml:space="preserve">      Azure Monitor</t>
  </si>
  <si>
    <t>Azure Monitor helps maximize the availability and performance of applications and services in an organisation. It delivers a comprehensive solution for collecting, analysing, and acting on telemetry from cloud and on-premises environments. This information helps organisations understand how applications are performing and proactively identify issues that affect them and the resources they depend on.</t>
  </si>
  <si>
    <t>Azure Monitor helps maximize the availability and performance of applications and services in an organization. It delivers a comprehensive solution for collecting, analysing, and acting on telemetry from cloud and on-premises environments. This information helps organizations understand how applications are performing and proactively identify issues that affect them and the resources they depend on.</t>
  </si>
  <si>
    <t xml:space="preserve">   Governance Policy (Business and Regulatory)</t>
  </si>
  <si>
    <t xml:space="preserve">      Microsoft Purview Compliance Manager</t>
  </si>
  <si>
    <t>Microsoft Purview Compliance Manager is a feature in the Microsoft Purview compliance portal that helps organisations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organisations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t>
  </si>
  <si>
    <t>Microsoft Purview Compliance Manager is a feature in the Microsoft Purview compliance portal that helps organizations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organizations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t>
  </si>
  <si>
    <t xml:space="preserve">      Microsoft Purview Communication Compliance</t>
  </si>
  <si>
    <t>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organisation. Microsoft Purview Communication Compliance takes advantage of Trainable classifiers to detect policy violations. It must be stressed that communications compliance will only search for what it is configured to do so, i.e., what an organisation has defined in scoped Communication Compliance policies.</t>
  </si>
  <si>
    <t>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organization. Microsoft Purview Communication Compliance takes advantage of Trainable classifiers to detect policy violations. It must be stressed that communications compliance will only search for what it is configured to do so, i.e., what an organization has defined in scoped Communication Compliance policies.</t>
  </si>
  <si>
    <t xml:space="preserve">      Microsoft Priva Risk Management</t>
  </si>
  <si>
    <t xml:space="preserve">      Azure Policy</t>
  </si>
  <si>
    <t>Azure Policy helps to enforce organisational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organisations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t>
  </si>
  <si>
    <t>Azure Policy helps to enforce organizational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organizations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t>
  </si>
  <si>
    <t xml:space="preserve">      Microsoft Purview Customer Lockbox</t>
  </si>
  <si>
    <t>Customer Lockbox ensures that Microsoft can't access an organisations content to do service operations without their explicit approval. Customer Lockbox brings the customer into the approval workflow process that Microsoft uses to ensure only authorized requests allow access to an organisations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organisation, and provide direct-access control to their content.</t>
  </si>
  <si>
    <t>Customer Lockbox ensures that Microsoft can't access an organizations content to do service operations without their explicit approval. Customer Lockbox brings the customer into the approval workflow process that Microsoft uses to ensure only authorized requests allow access to an organizations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organization, and provide direct-access control to their content.</t>
  </si>
  <si>
    <t xml:space="preserve">      Microsoft Purview Customer Key</t>
  </si>
  <si>
    <t>Your data is always encrypted at rest in the Microsoft 365 service with BitLocker and DKM. Customer Key provides extra protection against viewing of data by unauthorized systems or personnel, and complements BitLocker disk encryption in Microsoft data centres. Service encryption is not meant to prevent Microsoft personnel from accessing your data. Instead, Customer Key helps you meet regulatory or compliance obligations for controlling root keys. You explicitly authorize Microsoft 365 services to use your encryption keys to provide value added cloud services, such as eDiscovery, anti-malware, anti-spam, search indexing, and so on. Customer Key is built on service encryption and lets you provide and control encryption keys. Microsoft 365 then uses these keys to encrypt your data at rest as described in the Online Services Terms (OST). Customer Key helps you meet compliance obligations because you control the encryption keys that Microsoft 365 uses to encrypt and decrypt data.</t>
  </si>
  <si>
    <t xml:space="preserve">      Microsoft Purview Double Key Encryption</t>
  </si>
  <si>
    <t>Double Key Encryption (DKE) uses two keys together to access protected content. Microsoft stores one key in Microsoft Azure, and an organisation holds the other key. The organisation maintains full control of one of their keys using the Double Key Encryption service. The organisation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organisation stores the protected data.</t>
  </si>
  <si>
    <t>Double Key Encryption (DKE) uses two keys together to access protected content. Microsoft stores one key in Microsoft Azure, and an organization holds the other key. The organization maintains full control of one of their keys using the Double Key Encryption service. The organization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organization stores the protected data.</t>
  </si>
  <si>
    <t xml:space="preserve">      Microsoft Purview Information Barriers</t>
  </si>
  <si>
    <t>Microsoft 365 enables communication and collaboration across groups and organisations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organisation. This may also include situations when you need to restrict communication and collaboration between certain people inside organisations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t>
  </si>
  <si>
    <t>Microsoft 365 enables communication and collaboration across groups and organizations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organization. This may also include situations when you need to restrict communication and collaboration between certain people inside organizations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t>
  </si>
  <si>
    <t>Design and Planning</t>
  </si>
  <si>
    <t>Admin Configuration</t>
  </si>
  <si>
    <t>Deployment Time</t>
  </si>
  <si>
    <t>RBAC Role in Azure AD</t>
  </si>
  <si>
    <t>One Tenant, Multi Organization Scope</t>
  </si>
  <si>
    <t>Collaboration</t>
  </si>
  <si>
    <t>SharePoint Online</t>
  </si>
  <si>
    <t>OneDrive for Business</t>
  </si>
  <si>
    <t xml:space="preserve">Azure AD: Secure Foundation infrastructure </t>
  </si>
  <si>
    <t>Planner</t>
  </si>
  <si>
    <t>Allows Organizations to define the conditional access conditions a user must go through to enrol into MFA or Self Service Password Reset (SSPR). This helps validate the user is a member of the Organization and not an attacker with phished credentials creating trust through MFA</t>
  </si>
  <si>
    <t>Microsoft Whiteboard</t>
  </si>
  <si>
    <t>Organization Specific (Administrative Units)</t>
  </si>
  <si>
    <t>Stream</t>
  </si>
  <si>
    <t xml:space="preserve">Azure AD: Secure Foundation infrastructure; Azure AD: Automation &amp; Efficiencies </t>
  </si>
  <si>
    <t>Microsoft Syntex</t>
  </si>
  <si>
    <t>Mobile Apps</t>
  </si>
  <si>
    <t>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t>
  </si>
  <si>
    <t>Delve</t>
  </si>
  <si>
    <t>Microsoft Forms</t>
  </si>
  <si>
    <t>To Do</t>
  </si>
  <si>
    <t>ClipChamp</t>
  </si>
  <si>
    <t>Microsoft Lists</t>
  </si>
  <si>
    <t>Microsoft Sway</t>
  </si>
  <si>
    <t>Reporting and Insights</t>
  </si>
  <si>
    <t>Power BI</t>
  </si>
  <si>
    <t>Power Automate</t>
  </si>
  <si>
    <t>Power Apps &amp; Agents</t>
  </si>
  <si>
    <t xml:space="preserve">Microsoft Teams </t>
  </si>
  <si>
    <t>Teams Phone</t>
  </si>
  <si>
    <t>Virtual Appointments</t>
  </si>
  <si>
    <t>Activity Reports</t>
  </si>
  <si>
    <t>Meeting Protection</t>
  </si>
  <si>
    <t>Calling Plan</t>
  </si>
  <si>
    <t>Teams Rooms</t>
  </si>
  <si>
    <t>Organization Specific (on-premises deployment)</t>
  </si>
  <si>
    <t>Teams Channels</t>
  </si>
  <si>
    <t>Azure AD: Secure Foundation Infrastructure</t>
  </si>
  <si>
    <t>Teams 3rd Party Apps</t>
  </si>
  <si>
    <t>Teams Audio Conferencing</t>
  </si>
  <si>
    <t>Teams Phone Standard</t>
  </si>
  <si>
    <t>Provide the conditions under which a user can register a device into Azure AD, such as being in a trusted location or requiring MFA - this helps ensure that is a user of your Organization enrolling a device and not an attacker trying to gain device trust.</t>
  </si>
  <si>
    <t xml:space="preserve">Teams Phone Premium </t>
  </si>
  <si>
    <t xml:space="preserve">Teams Meeting Reporting </t>
  </si>
  <si>
    <t>Dataverse for Teams</t>
  </si>
  <si>
    <t>Microsoft Teams Shifts</t>
  </si>
  <si>
    <t>Microsoft Teams Recording</t>
  </si>
  <si>
    <t>Microsoft Teams Town Hall</t>
  </si>
  <si>
    <t>Microsoft Teams - baseline</t>
  </si>
  <si>
    <t>Employee Productivity</t>
  </si>
  <si>
    <t>Viva Topics</t>
  </si>
  <si>
    <t>Viva Suite, Viva Topics</t>
  </si>
  <si>
    <t>Allows for synchronization of on-premises Active Directory accounts into Azure AD</t>
  </si>
  <si>
    <t xml:space="preserve">Core onboarding: Identity Integration; Azure AD: Secure Foundation Infrastructure </t>
  </si>
  <si>
    <t>Viva Insights</t>
  </si>
  <si>
    <t>Viva Insights Personal</t>
  </si>
  <si>
    <t xml:space="preserve">Onboarding Accelerator – Azure Active Directory: Features Deployment (Base) </t>
  </si>
  <si>
    <t>Viva Premium Personal Insights and Experiences</t>
  </si>
  <si>
    <t>M365 E5</t>
  </si>
  <si>
    <t>Viva Insights Manager and Leader Insights and Experiences</t>
  </si>
  <si>
    <t>Viva Suite, Viva Insights, Viva Workplace Analytics and Employee Feedback</t>
  </si>
  <si>
    <t>Viva Learning</t>
  </si>
  <si>
    <t>Organization Specific (Domain Specific)</t>
  </si>
  <si>
    <t>Viva Connections</t>
  </si>
  <si>
    <t>Viva Goals</t>
  </si>
  <si>
    <t>Viva Engage</t>
  </si>
  <si>
    <t>Viva Engage Advanced Security</t>
  </si>
  <si>
    <t>M365 E5 Compliance</t>
  </si>
  <si>
    <t>Viva Engage Leadership Corner</t>
  </si>
  <si>
    <t>Viva Suite, Viva C&amp;C</t>
  </si>
  <si>
    <t>Viva Engage AMA (Ask Me Anything)</t>
  </si>
  <si>
    <t>Viva Engage Advanced Analytics</t>
  </si>
  <si>
    <t>Viva Engage Storyline Delegate Posting</t>
  </si>
  <si>
    <t>Viva Glint</t>
  </si>
  <si>
    <t>Viva Pulse</t>
  </si>
  <si>
    <t>Viva Amplify</t>
  </si>
  <si>
    <t>Microsoft 365 Add-on Solutions</t>
  </si>
  <si>
    <t>Microsoft Visio</t>
  </si>
  <si>
    <t xml:space="preserve">Visio Plan 1 </t>
  </si>
  <si>
    <t>Visio Plan 2</t>
  </si>
  <si>
    <t>Project Management - Microsoft Project</t>
  </si>
  <si>
    <t xml:space="preserve">Project Plan 1 </t>
  </si>
  <si>
    <t>Project Plan 3</t>
  </si>
  <si>
    <t>Project Plan 5</t>
  </si>
  <si>
    <t>Microsoft Surface Hardware</t>
  </si>
  <si>
    <t>Surface Hub</t>
  </si>
  <si>
    <t>Device</t>
  </si>
  <si>
    <t>Surface Devices</t>
  </si>
  <si>
    <t>Caveat</t>
  </si>
  <si>
    <t>Requirements</t>
  </si>
  <si>
    <t>Where it can support</t>
  </si>
  <si>
    <t>Description</t>
  </si>
  <si>
    <t>Use case suggestions</t>
  </si>
  <si>
    <t>Comon configuration</t>
  </si>
  <si>
    <t>Windows Settings</t>
  </si>
  <si>
    <t>Vision</t>
  </si>
  <si>
    <t>Windows Features</t>
  </si>
  <si>
    <t>Read Aloud</t>
  </si>
  <si>
    <t>Colour filters</t>
  </si>
  <si>
    <t>Microsoft 365</t>
  </si>
  <si>
    <t>Office on the web</t>
  </si>
  <si>
    <t>Apps for Enterprise</t>
  </si>
  <si>
    <t>Hearing</t>
  </si>
  <si>
    <t>Microsoft</t>
  </si>
  <si>
    <t>Interaction</t>
  </si>
  <si>
    <t>Recommended Use</t>
  </si>
  <si>
    <t>Choose Language</t>
  </si>
  <si>
    <t>Assessment</t>
  </si>
  <si>
    <t>Current Contract</t>
  </si>
  <si>
    <t>D</t>
  </si>
  <si>
    <t>EN-US</t>
  </si>
  <si>
    <t>Implementation</t>
  </si>
  <si>
    <t>Next Contract</t>
  </si>
  <si>
    <t>W</t>
  </si>
  <si>
    <t>Training (BAU)</t>
  </si>
  <si>
    <t>Optional (Suggestion)</t>
  </si>
  <si>
    <t>XDR (eXtended Detect and Response)</t>
  </si>
  <si>
    <t>Microsoft Entra Conditional Access: Network Assignment</t>
  </si>
  <si>
    <t>Microsoft Entra Conditional Access: Target Resources (User Actions - register security information)</t>
  </si>
  <si>
    <t>Microsoft Entra Conditional Access: Target Resources (User Actions - register Device)</t>
  </si>
  <si>
    <t>Microsoft Entra Conditional Access: Target Resources (Authentication Context)</t>
  </si>
  <si>
    <t>Azure Subscription, Intune Plan 1</t>
  </si>
  <si>
    <t>Entra Suite</t>
  </si>
  <si>
    <t>Application Access and Security Service Edge Services (SSE)</t>
  </si>
  <si>
    <t>Global Secure Access: Microsoft Entra Private Access - Remote Network vs Client App</t>
  </si>
  <si>
    <t>Global Secure Access: Microsoft Entra Private Access - Universal Tenant Restrictions</t>
  </si>
  <si>
    <t>Global Secure Access: Microsoft Entra Internet Access - Universal Conditional Access</t>
  </si>
  <si>
    <t>M365 E3, M365 F3, Entra Suite for non-M365 Services</t>
  </si>
  <si>
    <t>Global Secure Access: Microsoft Entra Internet Access - Traffic Logs</t>
  </si>
  <si>
    <t>Global Secure Access: Microsoft Entra Internet Access - Web Category Filtering</t>
  </si>
  <si>
    <t>Global Secure Access: Microsoft Entra Internet Access - Fully Qualified Domain Name (FQDN) Filtering</t>
  </si>
  <si>
    <t>Microsoft Entra Verified ID</t>
  </si>
  <si>
    <t>M365 E3, M365 F3, Entra Suite for Face Checks</t>
  </si>
  <si>
    <t>We believe a standards-based Decentralized Identity system can unlock a new set of experiences that give users and organizations greater control over their data—and deliver a higher degree of trust and security for apps, devices, and service providers.</t>
  </si>
  <si>
    <t>We believe a standards-based Decentralized Identity system can unlock a new set of experiences that give users and organisations greater control over their data—and deliver a higher degree of trust and security for apps, devices, and service providers.</t>
  </si>
  <si>
    <t>This hardware OATH token preview improves flexibility and security for organisations by removing Global Administrator requirements. Organisations can delegate token creation, assignment, and activation to Privileged Authentication Administrators or Authentication Policy Administrators.</t>
  </si>
  <si>
    <t>This hardware OATH token preview improves flexibility and security for organizations by removing Global Administrator requirements. Organizations can delegate token creation, assignment, and activation to Privileged Authentication Administrators or Authentication Policy Administrators.</t>
  </si>
  <si>
    <t>Conditional Access for workload identities enables blocking service principals: from outside of known public IP ranges, based on risk detected by Microsoft Entra ID Protection, in combination with authentication contexts.</t>
  </si>
  <si>
    <t>In addition to sending traffic to Global Secure Access, administrators can use Conditional Access policies to secure traffic profiles. They can mix and match controls as needed like requiring multifactor authentication, requiring a compliant device, or defining an acceptable sign-in risk. Applying these controls to network traffic not just cloud applications allows for what we call universal Conditional Access.</t>
  </si>
  <si>
    <t>Monitoring the traffic for Global Secure Access is an important activity for ensuring your tenant is configured correctly and that your users are getting the best experience possible. The Global Secure Access traffic logs (preview) provide insight into who is accessing what resources, where they're accessing them from, and what action took place.</t>
  </si>
  <si>
    <t>Microsoft Entra Internet Access's first Secure Web Gateway (SWG) features include web content filtering based on domain names. Microsoft integrates granular filtering policies with Microsoft Entra ID and Microsoft Entra Conditional Access, which results in filtering policies that are user-aware, context-aware, and easy to manage.</t>
  </si>
  <si>
    <t>nter a name, select a web category or a valid FQDN, and then select Add. Valid FQDNs in this feature can also include wildcards using the asterisk symbol, *.</t>
  </si>
  <si>
    <t>Administrators can add any Microsoft Entra registered application to Conditional Access policies.</t>
  </si>
  <si>
    <t>Billing Administrator</t>
  </si>
  <si>
    <t>Scoped (to CA policy and Information Protection Label)</t>
  </si>
  <si>
    <t>Microsoft Intune firmware-over-the-air (FOTA) updates</t>
  </si>
  <si>
    <t>Microsoft Intune Enterprise Application Management</t>
  </si>
  <si>
    <t>Microsoft Cloud PKI</t>
  </si>
  <si>
    <t>Firmware Over-the-Air (FOTA) updates allow remotely updating the firmware of devices using a wireless connection, rather than requiring the devices to be physically connected to a computer or network.</t>
  </si>
  <si>
    <t>Enables easy app discovery, deployment, and updating using a securely hosted app catalog of prepackaged apps.</t>
  </si>
  <si>
    <t>Streamline certificate lifecycle management: Manage certificates where you manage your endpoints.</t>
  </si>
  <si>
    <t>End User Compute, Applications</t>
  </si>
  <si>
    <t>End User Compute, Helpdesk</t>
  </si>
  <si>
    <t>End User Compute, Security</t>
  </si>
  <si>
    <t>End User Compute, Server Infrastructure</t>
  </si>
  <si>
    <t>Security, Sever Infrastructure, Developer Environment</t>
  </si>
  <si>
    <t>Information Governance, End User Compute</t>
  </si>
  <si>
    <t>Information Governance, Server Infrastructure</t>
  </si>
  <si>
    <t>https://intune.microsoft.com/</t>
  </si>
  <si>
    <t>Organization Specific (local directory sync)</t>
  </si>
  <si>
    <t>Organization Specific (internal governance)</t>
  </si>
  <si>
    <t>Organization Specific (Intune RBAC and tagging)</t>
  </si>
  <si>
    <t>Organization Specific (device tagging)</t>
  </si>
  <si>
    <t>Organization Specific (Intune RBAC and tagging / MDE Device Groups)</t>
  </si>
  <si>
    <t>Scoped (based on Organization's need)</t>
  </si>
  <si>
    <t>Scoped (Organization Specific labels)</t>
  </si>
  <si>
    <t>Scoped (Organization Specific SITs)</t>
  </si>
  <si>
    <t>Scoped (Organization Specific Classifiers)</t>
  </si>
  <si>
    <t>Scoped (Organization Specific on-premises deployment and scoped labels)</t>
  </si>
  <si>
    <t>Scoped (Organization Specific on-premises deployment and labels)</t>
  </si>
  <si>
    <t>Organization Specific (who manages Specific HSMs)</t>
  </si>
  <si>
    <t>Scoped (Domain, OU, Group filtering)</t>
  </si>
  <si>
    <t>Tenant Wide (but scoped to onboarded Domains)</t>
  </si>
  <si>
    <t>Scoped (Users or devices)</t>
  </si>
  <si>
    <t>Scoped (Users, workloads, apps, cloud)</t>
  </si>
  <si>
    <t>Scoped (although applies to all Users, can scope per External Application)</t>
  </si>
  <si>
    <t>Scoped (although applies to all Users, can scope per user session)</t>
  </si>
  <si>
    <t>Scoped (although applies to all Users, can scope per category)</t>
  </si>
  <si>
    <t>Scoped (although applies to all Users, can scope per FQDN)</t>
  </si>
  <si>
    <t>Scoped (on-premises install / connector Groups)</t>
  </si>
  <si>
    <t>Scoped (user and Groups)</t>
  </si>
  <si>
    <t>Scoped (Groups and Teams shared channels)</t>
  </si>
  <si>
    <t>Scoped (device Groups)</t>
  </si>
  <si>
    <t>Tenant wide data, Organization Specific (MDE device Groups)</t>
  </si>
  <si>
    <t>Scoped (Users and Groups defined policies)</t>
  </si>
  <si>
    <t>Scoped (Domain Specific, Users and Groups)</t>
  </si>
  <si>
    <t>Scoped (RBAC and Users and Groups)</t>
  </si>
  <si>
    <t>Scoped (Domain Specific Configuration)</t>
  </si>
  <si>
    <t>Organization Specific (onboarded apps)</t>
  </si>
  <si>
    <t>Microsoft Defender for DevOps</t>
  </si>
  <si>
    <t>Application Gateway v2 is the latest version of Application Gateway. It provides advantages over Application Gateway v1 such as performance enhancements, autoscaling, zone redundancy, and static VIPs.</t>
  </si>
  <si>
    <t>Confirm M365 Defender XDR is Enabled</t>
  </si>
  <si>
    <t>Microsoft Security Copilot</t>
  </si>
  <si>
    <t>Use Security Copilot to bring the full power of OpenAI architecture to defend your organization at machine speed and scale.</t>
  </si>
  <si>
    <t>Use Security Copilot to bring the full power of OpenAI architecture to defend your organisation at machine speed and scale.</t>
  </si>
  <si>
    <t>https://securitycopilot.microsoft.com</t>
  </si>
  <si>
    <t>Tenant Wide with scoped plugins and external websites</t>
  </si>
  <si>
    <t>https://purview.microsoft.com/</t>
  </si>
  <si>
    <t>Data Security Posture Management (DSPM)</t>
  </si>
  <si>
    <t>Use Data Security Posture Management (DSPM) to quickly identify unprotected sensitive data assets and potentially risky user activities in your organization.</t>
  </si>
  <si>
    <t>Use Data Security Posture Management (DSPM) to quickly identify unprotected sensitive data assets and potentially risky user activities in your organisation.</t>
  </si>
  <si>
    <t>Data Security Management</t>
  </si>
  <si>
    <t>Interconnectivity</t>
  </si>
  <si>
    <t>Data Loss Prevention, Insider Risk Management</t>
  </si>
  <si>
    <t>Devices/Data</t>
  </si>
  <si>
    <t>Devices/Visibility, Automation and Orchestration</t>
  </si>
  <si>
    <t>Infrastructure</t>
  </si>
  <si>
    <t>Infrastructure/Applications</t>
  </si>
  <si>
    <t>Data</t>
  </si>
  <si>
    <t>Data/Applications</t>
  </si>
  <si>
    <t>Infrastructure/Visibility, Automation and Orchestration</t>
  </si>
  <si>
    <t>Applications/Infrastructure/Visibility, Automation and Orchestration</t>
  </si>
  <si>
    <t>All</t>
  </si>
  <si>
    <t>Data/Infrastructure</t>
  </si>
  <si>
    <t>Data/Devices</t>
  </si>
  <si>
    <t>Data/Infrastructure/Visibility, Automation and Orchestration</t>
  </si>
  <si>
    <t>Data/Visibility, Automation and Orchestration</t>
  </si>
  <si>
    <t>These graphs are based off the priorities your organization has assigned to each product in the "SCIMP Plan" tab below  (SCIMP = Security, Compliance, Identity, Management and Privacy), and represent total value for the area in the chart title. Detail of your overall maturity can be found in the "Maturity Matrix" tab below.</t>
  </si>
  <si>
    <t>Microsoft Entra Connect Deployment (directory synchronization)</t>
  </si>
  <si>
    <t>Microsoft Entra Connect Deployment</t>
  </si>
  <si>
    <t>Conditional Access: Block Legacy Auth</t>
  </si>
  <si>
    <t>CA: Target Resources (User Actions - Security info)</t>
  </si>
  <si>
    <t>Conditional Access: Network Assignment</t>
  </si>
  <si>
    <t>Microsoft Entra MFA for all users</t>
  </si>
  <si>
    <t>Self Service Password Reset (SSPR)</t>
  </si>
  <si>
    <t>CA: Target Resources (User Actions Device Reg.)</t>
  </si>
  <si>
    <t>Entra ID - Third party SaaS Applications (SSO)</t>
  </si>
  <si>
    <t>Passwordless Authentication</t>
  </si>
  <si>
    <t>Microsoft Entra App Proxy</t>
  </si>
  <si>
    <t>Microsoft Entra RBAC Configuration</t>
  </si>
  <si>
    <t>CA: Target Resources (Authenication Context)</t>
  </si>
  <si>
    <t>Entra Identity Governance: Access Reviews</t>
  </si>
  <si>
    <t>Entra Identity Governance: Entitlement Packages</t>
  </si>
  <si>
    <t>Entra Domain Join or Hybrid Domain Join</t>
  </si>
  <si>
    <t>Windows Client Evergreen Plan (WUfB)</t>
  </si>
  <si>
    <t>AWS</t>
  </si>
  <si>
    <t>GCP</t>
  </si>
  <si>
    <t xml:space="preserve">Multi-Cloud Summary </t>
  </si>
  <si>
    <t>VDI (Citrix/Vmware/AVD/W365)</t>
  </si>
  <si>
    <t>Browser</t>
  </si>
  <si>
    <t>Office Client Versions</t>
  </si>
  <si>
    <t>Windows Server</t>
  </si>
  <si>
    <t>Linux (OS preference) - Redhat, etc..</t>
  </si>
  <si>
    <t>Android</t>
  </si>
  <si>
    <t>Mac</t>
  </si>
  <si>
    <t>iOS</t>
  </si>
  <si>
    <t>Server 2025</t>
  </si>
  <si>
    <t>Servers 2022</t>
  </si>
  <si>
    <t>Server 2019</t>
  </si>
  <si>
    <t>Server 2012</t>
  </si>
  <si>
    <t>Server 2008</t>
  </si>
  <si>
    <t>Windows 7</t>
  </si>
  <si>
    <t>Windows 11</t>
  </si>
  <si>
    <t>Endpoint Summary</t>
  </si>
  <si>
    <t>Inventory</t>
  </si>
  <si>
    <t>ERP</t>
  </si>
  <si>
    <t>HR System of Record</t>
  </si>
  <si>
    <t>Biz Appp</t>
  </si>
  <si>
    <t>Entra Private + Internet Access</t>
  </si>
  <si>
    <t>Network Access Control</t>
  </si>
  <si>
    <t>Microsoft Entra Internet Access and Microsoft Entra Private Access.  (Part of Entra Suite)
Intune Premium (IOS/Android)
Entra App Proxy (P1/M365 E3)</t>
  </si>
  <si>
    <t>VPN / SASE solution</t>
  </si>
  <si>
    <t>Azure Firewall - Azure Consumption</t>
  </si>
  <si>
    <t xml:space="preserve">Firewall </t>
  </si>
  <si>
    <t xml:space="preserve">Defender Endpoint (P2 - M365 E5)
</t>
  </si>
  <si>
    <t>Network Detection and Response</t>
  </si>
  <si>
    <t>Network &amp; Infra</t>
  </si>
  <si>
    <t>Office 365 Message Encryption (P1/M365 E3)</t>
  </si>
  <si>
    <t>Data Protection &amp; Backup</t>
  </si>
  <si>
    <t>MS Purview Data Governance (Meter consumption) - DGPU - Data Governance Processing Unit</t>
  </si>
  <si>
    <t>Data Governance</t>
  </si>
  <si>
    <t>Message Encryption</t>
  </si>
  <si>
    <t>Purview Information Protection Manual Labels(P1/M365 E3)
MSFT Information Protection - Automated (P2/M365 E3)</t>
  </si>
  <si>
    <t>Information Classification</t>
  </si>
  <si>
    <t>Purview Ediscovery-Standard(M365 E3)
Purview Ediscovery-Premium (M365 E5)</t>
  </si>
  <si>
    <t>Bitlocker (M365-E3)</t>
  </si>
  <si>
    <t>Drive Encryption</t>
  </si>
  <si>
    <t xml:space="preserve">Purview Endpoint DLP </t>
  </si>
  <si>
    <t>DLP is just one of the Microsoft Purview tools that you'll use to help protect your sensitive items wherever they live or travel. You should understand the other tools in the Microsoft Purview tool set, how they interrelate, and work better together. See, Microsoft Purview tools to learn more about the information protection process.</t>
  </si>
  <si>
    <t xml:space="preserve">Office 365 DLP (M365-E3)
Defender Endpoint DLP
Teams DLP
 (M365-E5)
</t>
  </si>
  <si>
    <t>DLP</t>
  </si>
  <si>
    <t>MSFT Information Protection Manual (P1/M365 E3)
MSFT Information Protection - Automated (P2/M365 E3)</t>
  </si>
  <si>
    <t>Content Encryption</t>
  </si>
  <si>
    <t>Info Protection</t>
  </si>
  <si>
    <t>“To provide File Integrity Monitoring (FIM), Microsoft Defender for Endpoint collects data from machines according to collection rules. When the current state of your system files is compared with the state during the previous scan, FIM notifies you about suspicious modifications,”</t>
  </si>
  <si>
    <t>Defender for Cloud - Windows Plan2 (Azure Consumption)
Defender for Endpoing (M365 E5)</t>
  </si>
  <si>
    <t>File Integrity Management (FIM)</t>
  </si>
  <si>
    <t>Note Many options for templatized Security Reporting in Dashboards, Azure Workbooks (Insights), Azure Dashboards, and PowerBI</t>
  </si>
  <si>
    <t xml:space="preserve">Defender for Cloud Regulatory Compliance Templates -Included in MS Defender for Cloud P2 (Consumption).
Compliance Manager Premium Templates (ADD-on) Premium Compliance Templates.
</t>
  </si>
  <si>
    <t>Compliance Score, Secure Score</t>
  </si>
  <si>
    <t>Compliance &amp; Security Reporting</t>
  </si>
  <si>
    <r>
      <t>Integration of data from these tools and other Microsoft Security tools like Microsoft Defender for Cloud, Microsoft Defender Cloud Security Posture Management and Microsoft Defender External Attack Surface Management</t>
    </r>
    <r>
      <rPr>
        <b/>
        <sz val="11"/>
        <color theme="1"/>
        <rFont val="Calibri"/>
        <family val="2"/>
        <scheme val="minor"/>
      </rPr>
      <t xml:space="preserve"> is available with those licenses</t>
    </r>
    <r>
      <rPr>
        <sz val="11"/>
        <color theme="1"/>
        <rFont val="Calibri"/>
        <family val="2"/>
        <scheme val="minor"/>
      </rPr>
      <t xml:space="preserve">.
Integration of </t>
    </r>
    <r>
      <rPr>
        <b/>
        <sz val="11"/>
        <color theme="1"/>
        <rFont val="Calibri"/>
        <family val="2"/>
        <scheme val="minor"/>
      </rPr>
      <t>non-Microsoft security tool</t>
    </r>
    <r>
      <rPr>
        <sz val="11"/>
        <color theme="1"/>
        <rFont val="Calibri"/>
        <family val="2"/>
        <scheme val="minor"/>
      </rPr>
      <t>s will be a consumption-based cost based on number of assets in the connected security tool. The external connectors are free during public preview, and pricing will be announced before starting to bill for external connectors at GA.</t>
    </r>
  </si>
  <si>
    <t>Defender Plan 1 (Intune Attack Surface Reduction) - M365 E3
Defender for Cloud
Defender CSPM (Azure Consumption)
Microsoft Defender Exposure Management (M365-E3/E5)- Many options</t>
  </si>
  <si>
    <t xml:space="preserve">
</t>
  </si>
  <si>
    <t>Vulnerability Management / Exposure Management</t>
  </si>
  <si>
    <t>Microsoft Defender Threat Intelligence (Former RISK IQ)
Included with Security Copilot</t>
  </si>
  <si>
    <t xml:space="preserve">MISA - Microsoft Intelligence Security Association (Partners)
</t>
  </si>
  <si>
    <t>3rd Party Pen Testing</t>
  </si>
  <si>
    <t>Microsoft Defender for Office 365 (M365 E5) - Phishing campaign training and content</t>
  </si>
  <si>
    <t>Phishing</t>
  </si>
  <si>
    <t>Microsoft Defender for Office 365 (M365 E5)- Includes safe links and attachments outlook, teams, sharepoint, onedrive, office</t>
  </si>
  <si>
    <t>Zero Day Attacks</t>
  </si>
  <si>
    <t>M365 Archive - Consumption
M365 Backup
Connect Azure Subscription Billing</t>
  </si>
  <si>
    <t>Archiving</t>
  </si>
  <si>
    <t>M365 E5 - Office 365 &amp; Azure Audit Logs
Advanced audting - 1 year and Feed into Sentinel</t>
  </si>
  <si>
    <t>Office 365 &amp; Azure Audit Logs
Advanced audting - 180 Days</t>
  </si>
  <si>
    <t>Auditing</t>
  </si>
  <si>
    <t>Microsoft Defender for Cloud Apps (M365 E5)</t>
  </si>
  <si>
    <t>CASB</t>
  </si>
  <si>
    <t>Defender XDR Automatic attack disruption (M365 E5)
Defender Automated Investigation  (M365 E5)
Conditional Access
Defender &amp; Sentinel Runbooks
Logic Apps (SOAR)
Security Copilot</t>
  </si>
  <si>
    <t>Security Orchestration / Automation</t>
  </si>
  <si>
    <t>Microsoft Defender Experts
MISA - Microsoft Intelligence Security Association (Partners)</t>
  </si>
  <si>
    <t>MSSP - Inhouse or Partner</t>
  </si>
  <si>
    <t>Security Copilot (Azure Consumption - SCU - Security Compute Units</t>
  </si>
  <si>
    <t xml:space="preserve">AI Assisted Security </t>
  </si>
  <si>
    <t>Strong Partnership with Partners like Servicenow</t>
  </si>
  <si>
    <t>ITSM / Ticket Management</t>
  </si>
  <si>
    <t>SIEM</t>
  </si>
  <si>
    <t>Security Ops</t>
  </si>
  <si>
    <t>Microsoft Graph.
Azure Resource Graph Inventory - Azure Consumption.  
Intune + Intune Data Warehouse(M365 E3)
Microsoft Exposure Management (M365 E3 &amp; E5)
Entra user, device, application inventory</t>
  </si>
  <si>
    <t>BICEP/ARM &amp; Azure 
Azure Policy (Arc)</t>
  </si>
  <si>
    <t>Microsoft Intune (M365 E3)</t>
  </si>
  <si>
    <t>Configuration Management</t>
  </si>
  <si>
    <t>App Control for Business/Applocker (AKA Windows Defender Application Control (WDAC)) -Part of Windows and Intune</t>
  </si>
  <si>
    <t>App Allow/Deny Listing</t>
  </si>
  <si>
    <t>Microsoft Defender for Endpoint (P2/ M365 E5)
Entra ID Conditional Access (M365 E3)</t>
  </si>
  <si>
    <t>Adaptive Device Risk Conditional Access</t>
  </si>
  <si>
    <t xml:space="preserve">
Automanage (Server) with Azure Arc
Azure Update Management(Consumption)</t>
  </si>
  <si>
    <t>Server Update Management</t>
  </si>
  <si>
    <t>Microsoft Intune (M365 E3)
Autopatch</t>
  </si>
  <si>
    <t>Client Endpoint Update Management</t>
  </si>
  <si>
    <t>Microsoft Intune (M365 E3)
Intune Premium</t>
  </si>
  <si>
    <t>MDM</t>
  </si>
  <si>
    <t>EMS
Microsoft Intune (M365 E3)
Intune Premium</t>
  </si>
  <si>
    <t>MAM</t>
  </si>
  <si>
    <t>Microsoft Defender for Cloud P2 (Azure Consumption)
Cloud Workload Protection
Defender for Cloud Posture Management (Azure Consumption)</t>
  </si>
  <si>
    <t>Container Security</t>
  </si>
  <si>
    <t>Defender for Cloud Posture Management (Azure Consumption)</t>
  </si>
  <si>
    <t>Cloud Posture Management</t>
  </si>
  <si>
    <t>Microsoft Defender for Cloud P2  (Azure Consumption)
Cloud Workload Protection</t>
  </si>
  <si>
    <t>Server EDR</t>
  </si>
  <si>
    <t>Microsoft Defender (M365 E3 / Defender P2)</t>
  </si>
  <si>
    <t>Client EDR</t>
  </si>
  <si>
    <t>Microsoft Defender (M365 E3 / Defender P1)</t>
  </si>
  <si>
    <t>Anti Virus</t>
  </si>
  <si>
    <t>Priviliged Identity Management (Entra P2)
Entra / AAD (P1)
ID Governance
Entra Suite</t>
  </si>
  <si>
    <t>Privileged Access Management</t>
  </si>
  <si>
    <t>Entra / AAD (P2)
Entra / AAD (P1)</t>
  </si>
  <si>
    <t>Adaptive RISK based Auth</t>
  </si>
  <si>
    <t>Entra / AAD (P2)
Entra / AAD (P1)
ID Governance
Entra Suite</t>
  </si>
  <si>
    <t>B2B/B2C Identity</t>
  </si>
  <si>
    <t>MFA</t>
  </si>
  <si>
    <t>SSO</t>
  </si>
  <si>
    <t>Notes</t>
  </si>
  <si>
    <t>Additional MSFT Solutions</t>
  </si>
  <si>
    <t>MSFT Solutions Owned</t>
  </si>
  <si>
    <t>Current State</t>
  </si>
  <si>
    <t>Tool</t>
  </si>
  <si>
    <t>Category</t>
  </si>
  <si>
    <t>Microsoft 365 Defender XDR</t>
  </si>
  <si>
    <t>MDC - Microsoft Defender for Key Vault</t>
  </si>
  <si>
    <t>MDC - Microsoft Defender for Servers (P1)</t>
  </si>
  <si>
    <t>Identity Governance - Connected Organizations</t>
  </si>
  <si>
    <t>Set Organization Level External Sharing settings</t>
  </si>
  <si>
    <t>Microsoft Purview Labelling Scanner (Discovery Only)</t>
  </si>
  <si>
    <t>Purview Labelling Scanner - Classify/Label/Protect</t>
  </si>
  <si>
    <t>Microsoft Purview Information Protection: Auto Labelling</t>
  </si>
  <si>
    <t>Configure Entra Inbound Provisioning API</t>
  </si>
  <si>
    <t>Enable Adaptive DLP controls</t>
  </si>
  <si>
    <t>Microsoft Entra Authentication Methods: OATH Tokens (Preview for HW tokens)</t>
  </si>
  <si>
    <t>Realized and Desired Value from current and prospective licensing</t>
  </si>
  <si>
    <r>
      <t xml:space="preserve">View of Microsoft 365 E3 Technologies </t>
    </r>
    <r>
      <rPr>
        <i/>
        <sz val="11"/>
        <color theme="1"/>
        <rFont val="Calibri"/>
        <family val="2"/>
        <scheme val="minor"/>
      </rPr>
      <t>(This section shows the value from E3 products and features as well as alignment to best practice configurations and processes)</t>
    </r>
  </si>
  <si>
    <t>Purple areas show "Work in Progress", representing the technologies your organization is currently deploying (in-flight), be that design stages, proof of concept, pilot or full deployment</t>
  </si>
  <si>
    <t>Green areas represent technologies where you organization sees a definite need (high value) and shows a high intent to deploy</t>
  </si>
  <si>
    <t>Amber areas represent technologies your organization sees value in but has prioritised higher value technologies over them (green areas)</t>
  </si>
  <si>
    <t>Red areas show technologies your organization sees value in but has been deprioritized to the level of risk they close off or require increased effort to deploy</t>
  </si>
  <si>
    <t>Greys areas are a combination of technologies where your organization cannot see value in the technologies at this time</t>
  </si>
  <si>
    <t>Amber represents the total technologies and configurations that your organization can see value in. It is the combination of all technologies that have been given an active deployment priority</t>
  </si>
  <si>
    <t>Grey represents technologies and configurations that either have not been assessed or your organization sees no value today</t>
  </si>
  <si>
    <t>This graph to help understand what resources are aligned to technolologies and configuration that are currently being deployed or prioritized technologies not yet deployed. 
For those with Unified Support contracts, the cost of deploying yourself (self), using FastTrack or using an engagement from Unified will already be sunk into existing agreements. There may be additional costs using partners.
For those with Unified Support contracts, your aligned Customer Success Account Manager (CSAM) will support all areas of deployment, be that sharing documentation or aligning SMEs from Unified and FastTrack. The CSAM can also support with partner engagements, helping to ensure all services are kept on plan and on track.</t>
  </si>
  <si>
    <t>Grey areas respresent technologies that can be deployed by your own teams and no additional help beyond following documentation is required</t>
  </si>
  <si>
    <t>Green areas are where FastTrack will be aligned to support your deployment teams. Whilst your team will be "hands on keyboard", FastTrack engineers can guide with problem solves and best practices</t>
  </si>
  <si>
    <t>Microsoft Entra Combined Registration (SSPR and MFA-R)</t>
  </si>
  <si>
    <t xml:space="preserve">                                                                                                                                                               </t>
  </si>
  <si>
    <t xml:space="preserve">                       </t>
  </si>
  <si>
    <t>Microsoft Defender Antivirus (MDE P1)</t>
  </si>
  <si>
    <t>Entra Workload Identities Premium</t>
  </si>
  <si>
    <t>Microsoft Entra Workload Identities Premium</t>
  </si>
  <si>
    <t>M365 Defender Suite</t>
  </si>
  <si>
    <t>M365 Defender Suite, M365 F3</t>
  </si>
  <si>
    <t>Microsoft Defender TI - moved to Defender XDR and Sentinel consumption</t>
  </si>
  <si>
    <t>Microsoft 365 E5, Security Compute Units (SCUs)</t>
  </si>
  <si>
    <t>M365 E3* M365 Defender Suite, M365 Purview Suite</t>
  </si>
  <si>
    <t>M365 Defender Suite, M365 Purview Suite</t>
  </si>
  <si>
    <t>M365 E3, M365 Defender Suite FLW</t>
  </si>
  <si>
    <t>AI Governance &amp; Security (Copilots, Agents, GenAI)</t>
  </si>
  <si>
    <t>Microsoft Purview DSPM for AI</t>
  </si>
  <si>
    <t>Copilot Control System</t>
  </si>
  <si>
    <t>Defender for Cloud Apps (GenAI discovery)</t>
  </si>
  <si>
    <t>Security Copilot (as a governed operator, not a detector)</t>
  </si>
  <si>
    <t>Agent governance (Copilot Studio / Foundry)</t>
  </si>
  <si>
    <t>Agent Identity, Lifecycle &amp; Runtime Governance (Agent 365)</t>
  </si>
  <si>
    <t>M365 Purview Suite</t>
  </si>
  <si>
    <t>M365 E3, M365 Purview Suite</t>
  </si>
  <si>
    <t>M365 Defender Suite, M365 Purview Suite, Copilot Studio and/or Azure AI Foundry</t>
  </si>
  <si>
    <t>Provides visibility into how AI tools and Copilots interact with sensitive data, reducing oversharing and privacy risk while allowing AI adoption to proceed with clear, enforceable data guardrails.</t>
  </si>
  <si>
    <t>Creates a unified governance layer for Copilot and AI agents, ensuring data access, compliance, and audit controls scale consistently as AI usage expands across the organization.</t>
  </si>
  <si>
    <t>Creates a unified governance layer for Copilot and AI agents, ensuring data access, compliance, and audit controls scale consistently as AI usage expands across the organisation.</t>
  </si>
  <si>
    <t>Reveals and controls generative AI usage across sanctioned and unsanctioned tools, reducing blind spots and preventing data exposure through unmanaged or high‑risk AI services.</t>
  </si>
  <si>
    <t>Improves security and compliance operations by accelerating investigation, triage, and reporting, enabling teams to respond faster and more effectively without increasing staffing or complexity.</t>
  </si>
  <si>
    <t>Ensures custom AI agents are developed, deployed, and operated within approved data, security, and lifecycle boundaries, preventing unsafe automation and inconsistent agent behavior.</t>
  </si>
  <si>
    <t>Ensures custom AI agents are developed, deployed, and operated within approved data, security, and lifecycle boundaries, preventing unsafe automation and inconsistent agent behaviour.</t>
  </si>
  <si>
    <t>Introduces centralized identity, ownership, and runtime governance for AI agents, enabling organizations to manage autonomous agents with the same visibility, accountability, and control as human users.</t>
  </si>
  <si>
    <t>Introduces centralised identity, ownership, and runtime governance for AI agents, enabling organisations to manage autonomous agents with the same visibility, accountability, and control as human users.</t>
  </si>
  <si>
    <t>https://admin.powerplatform.microsoft.com</t>
  </si>
  <si>
    <t>https://entra.microsoft.com and https://admin.microsoft.com</t>
  </si>
  <si>
    <t>Purview Administrator</t>
  </si>
  <si>
    <t>AI Administrator</t>
  </si>
  <si>
    <t>Security Copilot Owner</t>
  </si>
  <si>
    <t>Security Administrator, AI Administrator</t>
  </si>
  <si>
    <t>Scoped (Users, Brower Plugins, Groups, AI tooling) and Tenant Wide</t>
  </si>
  <si>
    <t>AI Compliance Management</t>
  </si>
  <si>
    <t>AI Identity Management</t>
  </si>
  <si>
    <t>Intune MAM/MDM/Cloud Attach; Windows 10/11</t>
  </si>
  <si>
    <t>Secures and governs workload identities (apps, service principals, managed identities) as the successor to Entra Permissions Management. Enables Conditional Access, identity risk detection, access reviews, and health insights for non‑human identities, reducing over‑privileged access and securing automated workloads such as CI/CD and service-to-service access.</t>
  </si>
  <si>
    <t>Microsoft Defender for AI</t>
  </si>
  <si>
    <t>Provides real‑time runtime threat protection for generative AI applications and agents, detecting and blocking attacks such as prompt injection, jailbreak attempts, data leakage, and credential exposure during AI execution. Operates at the subscription and workload level and integrates with Defender XDR for centralized security operations.</t>
  </si>
  <si>
    <t>AI Security</t>
  </si>
  <si>
    <t>Microsoft Entra Authentication Methods: Certificate-Based Authentication</t>
  </si>
  <si>
    <t>AI agents act autonomously across data, apps, and workflows, creating new risk if over‑privileged. Agent 365 treats agents as first‑class identities with Microsoft Entra Agent ID, enforcing least privilege, Conditional Access, and lifecycle ownership. Organisations limit blast radius, prevent persistent access, and meet audit and regulatory expectations as agents scale.</t>
  </si>
  <si>
    <t>AI agents act autonomously across data, apps, and workflows, creating new risk if over‑privileged. Agent 365 treats agents as first‑class identities with Microsoft Entra Agent ID, enforcing least privilege, Conditional Access, and lifecycle ownership. Organizations limit blast radius, prevent persistent access, and meet audit and regulatory expectations as agents scale.</t>
  </si>
  <si>
    <t>Microsoft Intune Plan 2, M365 E3, M365 F3</t>
  </si>
  <si>
    <t>Global Secure Access: Microsoft Entra Private Access - Quick Access</t>
  </si>
  <si>
    <t>Global Secure Access: Microsoft Entra Private Access - Per-App</t>
  </si>
  <si>
    <t>M365 Defender Suite, M365 Defender Suite FLW</t>
  </si>
  <si>
    <t>M365 Defender Suite, M365 Purview Suite, M365 Defender Suite FLW</t>
  </si>
  <si>
    <t>MDE, M365 Defender Suite, M365 Defender Suite FLW</t>
  </si>
  <si>
    <t>M365 Purview Suite, M365 Defender Suite FLW</t>
  </si>
  <si>
    <t>M365 E3*, M365 F3*, M365 Purview Suite, M365 Defender Suite FLW</t>
  </si>
  <si>
    <t>Onboarding Accelerator – Microsoft Entra ID: Features Deployment (Base)</t>
  </si>
  <si>
    <t>Activate Azure with Multi-Factor Authentication and Conditional Access</t>
  </si>
  <si>
    <t>Onboarding Accelerator – Microsoft Entra ID: Auditing (Base)</t>
  </si>
  <si>
    <t>Onboarding Accelerator – Microsoft Entra ID: Auditing (Add-on)</t>
  </si>
  <si>
    <t>Core onboarding: Identity Integration; Microsoft Entra ID: Secure Foundation Infrastructure</t>
  </si>
  <si>
    <t>Microsoft 365 Apps; App Assure; Microsoft Teams</t>
  </si>
  <si>
    <t>SPO/ ODfB; Data Migration</t>
  </si>
  <si>
    <t>Microsoft Entra ID: Secure Foundation infrastructure; Microsoft Entra ID: Automation &amp; Efficiencies</t>
  </si>
  <si>
    <t>N/A - Migration to Defender for Identity Only</t>
  </si>
  <si>
    <t>Microsoft Entra ID: Automation &amp; Efficiencies</t>
  </si>
  <si>
    <t>N/A (FastTrack for Azure is available)</t>
  </si>
  <si>
    <t>Advanced Endpoint Management Capabilities</t>
  </si>
  <si>
    <t>Enterprise Application Management</t>
  </si>
  <si>
    <t>Firmware-over-the-air (FOTA) updates</t>
  </si>
  <si>
    <t>Tunnel for Mobile Application Management</t>
  </si>
  <si>
    <t>AI Risk Posture Management (Cross-Platform)</t>
  </si>
  <si>
    <t>M365 E7</t>
  </si>
  <si>
    <t>Aggregates data security, agent activity, and AI usage into a unified risk and control model across the enterprise. Builds on capabilities such as Purview DSPM for AI, Defender for Cloud Apps, and Copilot governance to deliver unified AI risk visibility and control.</t>
  </si>
  <si>
    <t>Identity, Information Governance, Applications</t>
  </si>
  <si>
    <t>AI Management</t>
  </si>
  <si>
    <t>Identity, Data, Applications</t>
  </si>
  <si>
    <t>Data, Applications</t>
  </si>
  <si>
    <t>Agent Access Governance (Policy + Enforcement)</t>
  </si>
  <si>
    <t>Extends identity governance to AI agents and copilots, ensuring all non-human actors operate under controlled identities, enforced access policies, and least privilege. Reduces risk of unauthorized access, privilege escalation, and uncontrolled automation by introducing policy-based enforcement, lifecycle governance, and continuous monitoring of agent activity across the enterprise.</t>
  </si>
  <si>
    <t>Extends identity governance to AI agents and copilots, ensuring all non-human actors operate under controlled identities, enforced access policies, and least privilege. Reduces risk of unauthorised access, privilege escalation, and uncontrolled automation by introducing policy-based enforcement, lifecycle governance, and continuous monitoring of agent activity across the enterprise.</t>
  </si>
  <si>
    <t>Agent 365, M365 E7</t>
  </si>
  <si>
    <t>AI Data Exposure Controls (Real-Time)</t>
  </si>
  <si>
    <t>Extends data protection controls into real-time AI interactions, ensuring sensitive data is governed not only at rest or in transit, but dynamically during Copilot and agent-driven workflows. Prevents oversharing, unauthorized exposure, and misuse of sensitive information by enforcing policy-driven controls at the point of AI interaction.</t>
  </si>
  <si>
    <t>Extends data protection controls into real-time AI interactions, ensuring sensitive data is governed not only at rest or in transit, but dynamically during Copilot and agent-driven workflows. Prevents oversharing, unauthorised exposure, and misuse of sensitive information by enforcing policy-driven controls at the point of AI interaction.</t>
  </si>
  <si>
    <t>Copilot Usage &amp; Risk Analytics</t>
  </si>
  <si>
    <t>Provides unified visibility into Copilot and AI agent usage across the organisation, enabling monitoring of adoption, identification of risk patterns, and detection of anomalous or potentially unsafe behaviors. Supports governance, compliance reporting, and continuous improvement of AI deployment strategies.</t>
  </si>
  <si>
    <t>Provides unified visibility into Copilot and AI agent usage across the organization, enabling monitoring of adoption, identification of risk patterns, and detection of anomalous or potentially unsafe behaviors. Supports governance, compliance reporting, and continuous improvement of AI deployment strategies.</t>
  </si>
  <si>
    <t>yes</t>
  </si>
  <si>
    <t>Product, Features (Entra ID, Conditional Access, PIM)</t>
  </si>
  <si>
    <t>Product, Feature (Purview DLP, DSPM for AI)</t>
  </si>
  <si>
    <t>Product, Feature (DSPM for AI, Defender XDR, Copilot telemetry)</t>
  </si>
  <si>
    <t>Feature (Purview Audit, Activity Explorer, Viva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</si>
</sst>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9"/>
      <color rgb="FF363636"/>
      <name val="Segoe UI"/>
      <family val="2"/>
    </font>
    <font>
      <b/>
      <sz val="11"/>
      <color rgb="FF000000"/>
      <name val="Calibri"/>
      <family val="2"/>
      <scheme val="minor"/>
    </font>
    <font>
      <sz val="11"/>
      <color rgb="FF000000"/>
      <name val="Calibri"/>
      <family val="2"/>
      <scheme val="minor"/>
    </font>
    <font>
      <sz val="11"/>
      <color rgb="FFFFC000"/>
      <name val="Calibri"/>
      <family val="2"/>
      <scheme val="minor"/>
    </font>
    <font>
      <u/>
      <sz val="11"/>
      <color theme="10"/>
      <name val="Calibri"/>
      <family val="2"/>
      <scheme val="minor"/>
    </font>
    <font>
      <sz val="11"/>
      <color theme="10"/>
      <name val="Calibri"/>
      <family val="2"/>
      <scheme val="minor"/>
    </font>
    <font>
      <sz val="9"/>
      <color indexed="81"/>
      <name val="Tahoma"/>
      <family val="2"/>
    </font>
    <font>
      <sz val="9"/>
      <name val="Segoe UI"/>
      <family val="2"/>
    </font>
    <font>
      <b/>
      <sz val="11"/>
      <name val="Calibri"/>
      <family val="2"/>
      <scheme val="minor"/>
    </font>
    <font>
      <sz val="11"/>
      <name val="Calibri"/>
      <family val="2"/>
      <scheme val="minor"/>
    </font>
    <font>
      <sz val="8"/>
      <name val="Calibri"/>
      <family val="2"/>
      <scheme val="minor"/>
    </font>
    <font>
      <sz val="11"/>
      <color rgb="FF002060"/>
      <name val="Century Gothic"/>
      <family val="2"/>
    </font>
    <font>
      <b/>
      <sz val="9"/>
      <color indexed="81"/>
      <name val="Tahoma"/>
      <family val="2"/>
    </font>
    <font>
      <sz val="11"/>
      <color theme="1"/>
      <name val="Century Gothic"/>
      <family val="2"/>
    </font>
    <font>
      <b/>
      <sz val="22"/>
      <color theme="1"/>
      <name val="Century Gothic"/>
      <family val="2"/>
    </font>
    <font>
      <b/>
      <sz val="11"/>
      <color theme="1"/>
      <name val="Century Gothic"/>
      <family val="2"/>
    </font>
    <font>
      <sz val="14"/>
      <color theme="1"/>
      <name val="Century Gothic"/>
      <family val="2"/>
    </font>
    <font>
      <sz val="14"/>
      <color theme="1"/>
      <name val="Calibri"/>
      <family val="2"/>
      <scheme val="minor"/>
    </font>
    <font>
      <sz val="14"/>
      <color rgb="FF002060"/>
      <name val="Century Gothic"/>
      <family val="2"/>
    </font>
    <font>
      <sz val="15"/>
      <color theme="1"/>
      <name val="Century Gothic"/>
      <family val="2"/>
    </font>
    <font>
      <sz val="15"/>
      <color rgb="FF002060"/>
      <name val="Century Gothic"/>
      <family val="2"/>
    </font>
    <font>
      <sz val="11"/>
      <color theme="1"/>
      <name val="Calibri"/>
      <family val="2"/>
      <scheme val="minor"/>
    </font>
    <font>
      <sz val="11"/>
      <color rgb="FFFF0000"/>
      <name val="Calibri"/>
      <family val="2"/>
      <scheme val="minor"/>
    </font>
    <font>
      <sz val="11"/>
      <name val="Century Gothic"/>
      <family val="2"/>
    </font>
    <font>
      <b/>
      <sz val="24"/>
      <color theme="1"/>
      <name val="Century Gothic"/>
      <family val="2"/>
    </font>
    <font>
      <b/>
      <sz val="11"/>
      <color theme="1"/>
      <name val="Calibri"/>
      <family val="2"/>
      <scheme val="minor"/>
    </font>
    <font>
      <sz val="11"/>
      <color theme="0"/>
      <name val="Calibri"/>
      <family val="2"/>
      <scheme val="minor"/>
    </font>
    <font>
      <sz val="14"/>
      <color rgb="FF595959"/>
      <name val="Calibri"/>
      <family val="2"/>
      <scheme val="minor"/>
    </font>
    <font>
      <sz val="11"/>
      <color rgb="FF0070C0"/>
      <name val="Calibri"/>
      <family val="2"/>
      <scheme val="minor"/>
    </font>
    <font>
      <i/>
      <sz val="11"/>
      <color theme="1"/>
      <name val="Calibri"/>
      <family val="2"/>
      <scheme val="minor"/>
    </font>
    <font>
      <b/>
      <sz val="11"/>
      <color theme="10"/>
      <name val="Calibri"/>
      <family val="2"/>
      <scheme val="minor"/>
    </font>
    <font>
      <b/>
      <sz val="11"/>
      <color theme="0"/>
      <name val="Calibri"/>
      <family val="2"/>
      <scheme val="minor"/>
    </font>
    <font>
      <sz val="9"/>
      <color indexed="81"/>
      <name val="Tahoma"/>
      <charset val="1"/>
    </font>
    <font>
      <b/>
      <sz val="9"/>
      <color indexed="81"/>
      <name val="Tahoma"/>
      <charset val="1"/>
    </font>
  </fonts>
  <fills count="19">
    <fill>
      <patternFill patternType="none"/>
    </fill>
    <fill>
      <patternFill patternType="gray125"/>
    </fill>
    <fill>
      <patternFill patternType="solid">
        <fgColor rgb="FFDFE3E8"/>
        <bgColor indexed="64"/>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0000"/>
        <bgColor indexed="64"/>
      </patternFill>
    </fill>
    <fill>
      <patternFill patternType="solid">
        <fgColor theme="1"/>
        <bgColor indexed="64"/>
      </patternFill>
    </fill>
    <fill>
      <patternFill patternType="solid">
        <fgColor rgb="FFEE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7030A0"/>
        <bgColor indexed="64"/>
      </patternFill>
    </fill>
    <fill>
      <patternFill patternType="solid">
        <fgColor theme="4"/>
        <bgColor theme="4"/>
      </patternFill>
    </fill>
    <fill>
      <patternFill patternType="solid">
        <fgColor theme="7"/>
        <bgColor indexed="64"/>
      </patternFill>
    </fill>
  </fills>
  <borders count="78">
    <border>
      <left/>
      <right/>
      <top/>
      <bottom/>
      <diagonal/>
    </border>
    <border>
      <left style="thin">
        <color rgb="FFB1BBCC"/>
      </left>
      <right style="thin">
        <color rgb="FFB1BBCC"/>
      </right>
      <top style="thin">
        <color rgb="FFB1BBCC"/>
      </top>
      <bottom style="thin">
        <color rgb="FFB1BBCC"/>
      </bottom>
      <diagonal/>
    </border>
    <border>
      <left style="thin">
        <color rgb="FFB1BBCC"/>
      </left>
      <right/>
      <top style="thin">
        <color rgb="FFB1BBCC"/>
      </top>
      <bottom style="thin">
        <color rgb="FFB1BBCC"/>
      </bottom>
      <diagonal/>
    </border>
    <border>
      <left/>
      <right style="thin">
        <color rgb="FFB1BBCC"/>
      </right>
      <top style="thin">
        <color rgb="FFB1BBCC"/>
      </top>
      <bottom style="thin">
        <color rgb="FFB1BBCC"/>
      </bottom>
      <diagonal/>
    </border>
    <border>
      <left/>
      <right style="thick">
        <color theme="1"/>
      </right>
      <top/>
      <bottom/>
      <diagonal/>
    </border>
    <border>
      <left style="medium">
        <color indexed="64"/>
      </left>
      <right/>
      <top/>
      <bottom/>
      <diagonal/>
    </border>
    <border>
      <left/>
      <right style="medium">
        <color indexed="64"/>
      </right>
      <top/>
      <bottom/>
      <diagonal/>
    </border>
    <border>
      <left style="thick">
        <color rgb="FF00B0F0"/>
      </left>
      <right/>
      <top style="thick">
        <color rgb="FF00B0F0"/>
      </top>
      <bottom style="thick">
        <color rgb="FF00B0F0"/>
      </bottom>
      <diagonal/>
    </border>
    <border>
      <left/>
      <right style="thick">
        <color rgb="FF00B0F0"/>
      </right>
      <top style="thick">
        <color rgb="FF00B0F0"/>
      </top>
      <bottom style="thick">
        <color rgb="FF00B0F0"/>
      </bottom>
      <diagonal/>
    </border>
    <border>
      <left style="thin">
        <color theme="0" tint="-0.249977111117893"/>
      </left>
      <right/>
      <top/>
      <bottom/>
      <diagonal/>
    </border>
    <border>
      <left style="thick">
        <color theme="1" tint="0.24994659260841701"/>
      </left>
      <right/>
      <top style="thick">
        <color theme="1" tint="0.24994659260841701"/>
      </top>
      <bottom style="thick">
        <color theme="1" tint="0.24994659260841701"/>
      </bottom>
      <diagonal/>
    </border>
    <border>
      <left/>
      <right style="thick">
        <color theme="1" tint="0.24994659260841701"/>
      </right>
      <top style="thick">
        <color theme="1" tint="0.24994659260841701"/>
      </top>
      <bottom style="thick">
        <color theme="1" tint="0.24994659260841701"/>
      </bottom>
      <diagonal/>
    </border>
    <border>
      <left style="thick">
        <color rgb="FF7030A0"/>
      </left>
      <right/>
      <top style="thick">
        <color rgb="FF7030A0"/>
      </top>
      <bottom style="thick">
        <color rgb="FF7030A0"/>
      </bottom>
      <diagonal/>
    </border>
    <border>
      <left/>
      <right style="thick">
        <color rgb="FF7030A0"/>
      </right>
      <top style="thick">
        <color rgb="FF7030A0"/>
      </top>
      <bottom style="thick">
        <color rgb="FF7030A0"/>
      </bottom>
      <diagonal/>
    </border>
    <border>
      <left style="thick">
        <color rgb="FF00B050"/>
      </left>
      <right/>
      <top style="thick">
        <color rgb="FF00B050"/>
      </top>
      <bottom style="thick">
        <color rgb="FF00B050"/>
      </bottom>
      <diagonal/>
    </border>
    <border>
      <left/>
      <right style="thick">
        <color rgb="FF00B050"/>
      </right>
      <top style="thick">
        <color rgb="FF00B050"/>
      </top>
      <bottom style="thick">
        <color rgb="FF00B050"/>
      </bottom>
      <diagonal/>
    </border>
    <border>
      <left style="thick">
        <color theme="1"/>
      </left>
      <right style="thick">
        <color theme="1"/>
      </right>
      <top style="thick">
        <color theme="1"/>
      </top>
      <bottom style="thick">
        <color theme="1"/>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theme="1"/>
      </right>
      <top style="thick">
        <color auto="1"/>
      </top>
      <bottom/>
      <diagonal/>
    </border>
    <border>
      <left style="thick">
        <color auto="1"/>
      </left>
      <right style="thick">
        <color theme="1"/>
      </right>
      <top/>
      <bottom/>
      <diagonal/>
    </border>
    <border>
      <left style="thick">
        <color auto="1"/>
      </left>
      <right style="thick">
        <color theme="1"/>
      </right>
      <top/>
      <bottom style="thick">
        <color auto="1"/>
      </bottom>
      <diagonal/>
    </border>
    <border>
      <left style="thick">
        <color theme="1"/>
      </left>
      <right/>
      <top style="thick">
        <color theme="1"/>
      </top>
      <bottom style="thick">
        <color theme="1"/>
      </bottom>
      <diagonal/>
    </border>
    <border>
      <left/>
      <right/>
      <top style="thick">
        <color rgb="FF00B0F0"/>
      </top>
      <bottom/>
      <diagonal/>
    </border>
    <border>
      <left style="thick">
        <color rgb="FF00B0F0"/>
      </left>
      <right style="thick">
        <color rgb="FF00B0F0"/>
      </right>
      <top style="thick">
        <color rgb="FF00B0F0"/>
      </top>
      <bottom style="thick">
        <color rgb="FF00B0F0"/>
      </bottom>
      <diagonal/>
    </border>
    <border>
      <left style="thick">
        <color auto="1"/>
      </left>
      <right style="thick">
        <color auto="1"/>
      </right>
      <top style="thick">
        <color auto="1"/>
      </top>
      <bottom style="thick">
        <color auto="1"/>
      </bottom>
      <diagonal/>
    </border>
    <border>
      <left style="thick">
        <color rgb="FF00B050"/>
      </left>
      <right style="thick">
        <color rgb="FF00B050"/>
      </right>
      <top style="thick">
        <color rgb="FF00B050"/>
      </top>
      <bottom style="thick">
        <color rgb="FF00B050"/>
      </bottom>
      <diagonal/>
    </border>
    <border>
      <left style="thick">
        <color rgb="FF7030A0"/>
      </left>
      <right style="thick">
        <color rgb="FF7030A0"/>
      </right>
      <top style="thick">
        <color rgb="FF7030A0"/>
      </top>
      <bottom style="thick">
        <color rgb="FF7030A0"/>
      </bottom>
      <diagonal/>
    </border>
    <border>
      <left/>
      <right/>
      <top style="thin">
        <color indexed="64"/>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B1BBCC"/>
      </top>
      <bottom style="thin">
        <color rgb="FFB1BBCC"/>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style="medium">
        <color indexed="64"/>
      </left>
      <right/>
      <top style="thin">
        <color rgb="FFB1BBCC"/>
      </top>
      <bottom style="thin">
        <color rgb="FFB1BBCC"/>
      </bottom>
      <diagonal/>
    </border>
    <border>
      <left style="medium">
        <color indexed="64"/>
      </left>
      <right style="medium">
        <color indexed="64"/>
      </right>
      <top/>
      <bottom/>
      <diagonal/>
    </border>
    <border>
      <left style="medium">
        <color indexed="64"/>
      </left>
      <right style="medium">
        <color indexed="64"/>
      </right>
      <top style="thin">
        <color rgb="FFB1BBCC"/>
      </top>
      <bottom style="thin">
        <color rgb="FFB1BBCC"/>
      </bottom>
      <diagonal/>
    </border>
    <border>
      <left/>
      <right/>
      <top style="dashed">
        <color indexed="64"/>
      </top>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ck">
        <color theme="1" tint="0.24994659260841701"/>
      </left>
      <right/>
      <top style="thick">
        <color theme="1" tint="0.24994659260841701"/>
      </top>
      <bottom style="thick">
        <color rgb="FF7030A0"/>
      </bottom>
      <diagonal/>
    </border>
    <border>
      <left/>
      <right style="thick">
        <color rgb="FF7030A0"/>
      </right>
      <top style="thick">
        <color theme="1" tint="0.24994659260841701"/>
      </top>
      <bottom style="thick">
        <color rgb="FF7030A0"/>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theme="4"/>
      </left>
      <right/>
      <top style="thin">
        <color theme="4"/>
      </top>
      <bottom/>
      <diagonal/>
    </border>
    <border>
      <left style="medium">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style="medium">
        <color indexed="64"/>
      </left>
      <right/>
      <top/>
      <bottom style="thin">
        <color rgb="FFB1BBCC"/>
      </bottom>
      <diagonal/>
    </border>
    <border>
      <left style="thin">
        <color rgb="FFB1BBCC"/>
      </left>
      <right/>
      <top/>
      <bottom style="thin">
        <color rgb="FFB1BBCC"/>
      </bottom>
      <diagonal/>
    </border>
    <border>
      <left style="medium">
        <color indexed="64"/>
      </left>
      <right/>
      <top style="thin">
        <color theme="0" tint="-0.34998626667073579"/>
      </top>
      <bottom style="thin">
        <color theme="0" tint="-0.34998626667073579"/>
      </bottom>
      <diagonal/>
    </border>
  </borders>
  <cellStyleXfs count="2">
    <xf numFmtId="0" fontId="0" fillId="0" borderId="0"/>
    <xf numFmtId="0" fontId="5" fillId="0" borderId="0" applyNumberFormat="0" applyFill="0" applyBorder="0" applyAlignment="0" applyProtection="0"/>
  </cellStyleXfs>
  <cellXfs count="373">
    <xf numFmtId="0" fontId="0" fillId="0" borderId="0" xfId="0"/>
    <xf numFmtId="0" fontId="3" fillId="3" borderId="1" xfId="0" applyFont="1" applyFill="1" applyBorder="1" applyAlignment="1">
      <alignment vertical="center"/>
    </xf>
    <xf numFmtId="0" fontId="0" fillId="3" borderId="1" xfId="0" applyFill="1" applyBorder="1" applyAlignment="1">
      <alignment vertical="center"/>
    </xf>
    <xf numFmtId="0" fontId="2" fillId="3" borderId="1" xfId="0" applyFont="1" applyFill="1" applyBorder="1" applyAlignment="1">
      <alignment vertical="center"/>
    </xf>
    <xf numFmtId="0" fontId="0" fillId="0" borderId="0" xfId="0" applyAlignment="1">
      <alignment vertical="center"/>
    </xf>
    <xf numFmtId="0" fontId="0" fillId="3" borderId="1" xfId="0" applyFill="1" applyBorder="1" applyAlignment="1">
      <alignment horizontal="right" vertical="center"/>
    </xf>
    <xf numFmtId="0" fontId="3" fillId="3" borderId="1" xfId="0" applyFont="1" applyFill="1" applyBorder="1" applyAlignment="1">
      <alignment horizontal="right" vertical="center"/>
    </xf>
    <xf numFmtId="0" fontId="0" fillId="0" borderId="0" xfId="0" applyAlignment="1">
      <alignment horizontal="right" vertical="center"/>
    </xf>
    <xf numFmtId="0" fontId="0" fillId="0" borderId="0" xfId="0" applyAlignment="1">
      <alignment wrapText="1"/>
    </xf>
    <xf numFmtId="0" fontId="2" fillId="0" borderId="1" xfId="0" applyFont="1" applyBorder="1" applyAlignment="1">
      <alignment vertical="center"/>
    </xf>
    <xf numFmtId="0" fontId="6" fillId="3" borderId="1" xfId="1" applyFont="1" applyFill="1" applyBorder="1" applyAlignment="1">
      <alignment vertical="center"/>
    </xf>
    <xf numFmtId="0" fontId="6" fillId="0" borderId="0" xfId="1" applyFont="1"/>
    <xf numFmtId="0" fontId="6" fillId="3" borderId="1" xfId="1" applyFont="1" applyFill="1" applyBorder="1" applyAlignment="1">
      <alignment vertical="center" wrapText="1"/>
    </xf>
    <xf numFmtId="0" fontId="0" fillId="3" borderId="2" xfId="0" applyFill="1" applyBorder="1" applyAlignment="1">
      <alignment vertical="center"/>
    </xf>
    <xf numFmtId="0" fontId="0" fillId="3" borderId="3" xfId="0" applyFill="1" applyBorder="1" applyAlignment="1">
      <alignment vertical="center"/>
    </xf>
    <xf numFmtId="0" fontId="0" fillId="0" borderId="0" xfId="0" applyAlignment="1">
      <alignment horizontal="center" vertical="center"/>
    </xf>
    <xf numFmtId="0" fontId="0" fillId="0" borderId="0" xfId="0" applyAlignment="1">
      <alignment vertical="top"/>
    </xf>
    <xf numFmtId="0" fontId="1" fillId="2" borderId="1" xfId="0" applyFont="1" applyFill="1" applyBorder="1" applyAlignment="1">
      <alignment horizontal="center" vertical="center" wrapText="1"/>
    </xf>
    <xf numFmtId="0" fontId="5" fillId="2" borderId="1" xfId="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6" fillId="0" borderId="0" xfId="1" applyFont="1" applyAlignment="1">
      <alignment vertical="center"/>
    </xf>
    <xf numFmtId="0" fontId="6" fillId="3" borderId="0" xfId="1" applyFont="1" applyFill="1" applyBorder="1" applyAlignment="1">
      <alignment vertical="center"/>
    </xf>
    <xf numFmtId="0" fontId="8" fillId="2" borderId="1" xfId="0" applyFont="1" applyFill="1" applyBorder="1" applyAlignment="1">
      <alignment horizontal="center" vertical="center" wrapText="1"/>
    </xf>
    <xf numFmtId="0" fontId="9" fillId="3" borderId="1" xfId="0" applyFont="1" applyFill="1" applyBorder="1" applyAlignment="1">
      <alignment vertical="center"/>
    </xf>
    <xf numFmtId="0" fontId="10" fillId="3" borderId="1" xfId="0" applyFont="1" applyFill="1" applyBorder="1" applyAlignment="1">
      <alignment vertical="center"/>
    </xf>
    <xf numFmtId="0" fontId="10" fillId="3" borderId="1" xfId="1" applyFont="1" applyFill="1" applyBorder="1" applyAlignment="1">
      <alignment vertical="center"/>
    </xf>
    <xf numFmtId="0" fontId="10" fillId="0" borderId="0" xfId="1" applyFont="1"/>
    <xf numFmtId="0" fontId="10" fillId="3" borderId="1" xfId="1" applyFont="1" applyFill="1" applyBorder="1" applyAlignment="1">
      <alignment vertical="center" wrapText="1"/>
    </xf>
    <xf numFmtId="0" fontId="10" fillId="0" borderId="0" xfId="0" applyFont="1" applyAlignment="1">
      <alignment vertical="center"/>
    </xf>
    <xf numFmtId="0" fontId="0" fillId="0" borderId="0" xfId="0" applyAlignment="1">
      <alignment vertical="center" wrapText="1"/>
    </xf>
    <xf numFmtId="0" fontId="0" fillId="0" borderId="19" xfId="0" applyBorder="1" applyAlignment="1">
      <alignment wrapText="1"/>
    </xf>
    <xf numFmtId="0" fontId="0" fillId="0" borderId="4" xfId="0" applyBorder="1" applyAlignment="1">
      <alignment wrapText="1"/>
    </xf>
    <xf numFmtId="0" fontId="0" fillId="11" borderId="23" xfId="0" applyFill="1" applyBorder="1" applyAlignment="1">
      <alignment wrapText="1"/>
    </xf>
    <xf numFmtId="0" fontId="0" fillId="11" borderId="4" xfId="0" applyFill="1" applyBorder="1" applyAlignment="1">
      <alignment wrapText="1"/>
    </xf>
    <xf numFmtId="0" fontId="0" fillId="11" borderId="19" xfId="0" applyFill="1" applyBorder="1" applyAlignment="1">
      <alignment wrapText="1"/>
    </xf>
    <xf numFmtId="0" fontId="10" fillId="3" borderId="0" xfId="1" applyFont="1" applyFill="1" applyBorder="1" applyAlignment="1">
      <alignment vertical="center"/>
    </xf>
    <xf numFmtId="0" fontId="10" fillId="0" borderId="0" xfId="1" applyFont="1" applyAlignment="1">
      <alignment vertical="center"/>
    </xf>
    <xf numFmtId="0" fontId="6" fillId="0" borderId="0" xfId="1" applyFont="1" applyFill="1"/>
    <xf numFmtId="0" fontId="10" fillId="0" borderId="0" xfId="1" applyFont="1" applyFill="1"/>
    <xf numFmtId="0" fontId="0" fillId="0" borderId="0" xfId="0" applyAlignment="1">
      <alignment horizontal="center" vertical="center" wrapText="1"/>
    </xf>
    <xf numFmtId="0" fontId="0" fillId="3" borderId="3" xfId="0" applyFill="1" applyBorder="1" applyAlignment="1">
      <alignment vertical="top"/>
    </xf>
    <xf numFmtId="0" fontId="12" fillId="0" borderId="0" xfId="0" applyFont="1" applyAlignment="1">
      <alignment horizontal="center" vertical="center" wrapText="1"/>
    </xf>
    <xf numFmtId="0" fontId="12" fillId="0" borderId="0" xfId="0" applyFont="1" applyAlignment="1">
      <alignment vertical="center" wrapText="1"/>
    </xf>
    <xf numFmtId="0" fontId="14" fillId="0" borderId="0" xfId="0" applyFont="1" applyAlignment="1">
      <alignment wrapText="1"/>
    </xf>
    <xf numFmtId="0" fontId="16" fillId="0" borderId="0" xfId="0" applyFont="1" applyAlignment="1">
      <alignment wrapText="1"/>
    </xf>
    <xf numFmtId="0" fontId="20" fillId="0" borderId="0" xfId="0" applyFont="1"/>
    <xf numFmtId="0" fontId="20" fillId="0" borderId="33" xfId="0" applyFont="1" applyBorder="1" applyAlignment="1">
      <alignment vertical="center"/>
    </xf>
    <xf numFmtId="0" fontId="21" fillId="0" borderId="32" xfId="0" applyFont="1" applyBorder="1" applyAlignment="1">
      <alignment horizontal="center" vertical="center"/>
    </xf>
    <xf numFmtId="0" fontId="20" fillId="0" borderId="0" xfId="0" applyFont="1" applyAlignment="1">
      <alignment vertical="center"/>
    </xf>
    <xf numFmtId="0" fontId="21" fillId="0" borderId="35" xfId="0" applyFont="1" applyBorder="1" applyAlignment="1">
      <alignment vertical="center"/>
    </xf>
    <xf numFmtId="0" fontId="20" fillId="0" borderId="0" xfId="0" applyFont="1" applyAlignment="1">
      <alignment horizontal="center" vertical="center"/>
    </xf>
    <xf numFmtId="0" fontId="14" fillId="0" borderId="0" xfId="0" applyFont="1"/>
    <xf numFmtId="0" fontId="14" fillId="0" borderId="0" xfId="0" applyFont="1" applyAlignment="1">
      <alignment horizontal="left"/>
    </xf>
    <xf numFmtId="0" fontId="0" fillId="0" borderId="0" xfId="0" applyAlignment="1">
      <alignment horizontal="left" vertical="center"/>
    </xf>
    <xf numFmtId="0" fontId="0" fillId="0" borderId="0" xfId="0" applyAlignment="1">
      <alignment horizontal="left"/>
    </xf>
    <xf numFmtId="0" fontId="22" fillId="3" borderId="3" xfId="0" applyFont="1" applyFill="1" applyBorder="1" applyAlignment="1">
      <alignment vertical="center"/>
    </xf>
    <xf numFmtId="0" fontId="22" fillId="3" borderId="1" xfId="0" applyFont="1" applyFill="1" applyBorder="1" applyAlignment="1">
      <alignment vertical="center"/>
    </xf>
    <xf numFmtId="0" fontId="22" fillId="0" borderId="0" xfId="0" applyFont="1" applyAlignment="1">
      <alignment vertical="center"/>
    </xf>
    <xf numFmtId="0" fontId="22" fillId="0" borderId="0" xfId="0" applyFont="1"/>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3" borderId="0" xfId="0" applyFill="1" applyAlignment="1">
      <alignment vertical="center"/>
    </xf>
    <xf numFmtId="0" fontId="5" fillId="0" borderId="0" xfId="1" applyFill="1"/>
    <xf numFmtId="0" fontId="24" fillId="10" borderId="14" xfId="0" applyFont="1" applyFill="1" applyBorder="1" applyAlignment="1">
      <alignment horizontal="center" vertical="center" wrapText="1"/>
    </xf>
    <xf numFmtId="0" fontId="10" fillId="0" borderId="0" xfId="0" applyFont="1" applyAlignment="1">
      <alignment vertical="center" wrapText="1"/>
    </xf>
    <xf numFmtId="0" fontId="24" fillId="0" borderId="8" xfId="0" applyFont="1" applyBorder="1" applyAlignment="1">
      <alignment horizontal="center" vertical="center" wrapText="1"/>
    </xf>
    <xf numFmtId="0" fontId="24" fillId="11" borderId="0" xfId="0" applyFont="1" applyFill="1" applyAlignment="1">
      <alignment horizontal="center" vertical="center" wrapText="1"/>
    </xf>
    <xf numFmtId="0" fontId="24" fillId="10" borderId="7" xfId="0" applyFont="1" applyFill="1" applyBorder="1" applyAlignment="1">
      <alignment horizontal="center" vertical="center" wrapText="1"/>
    </xf>
    <xf numFmtId="0" fontId="24" fillId="0" borderId="11" xfId="1" applyFont="1" applyBorder="1" applyAlignment="1">
      <alignment horizontal="center" vertical="center" wrapText="1"/>
    </xf>
    <xf numFmtId="0" fontId="24" fillId="11" borderId="0" xfId="0" applyFont="1" applyFill="1" applyAlignment="1">
      <alignment vertical="center" wrapText="1"/>
    </xf>
    <xf numFmtId="0" fontId="24" fillId="10" borderId="10" xfId="0" applyFont="1" applyFill="1" applyBorder="1" applyAlignment="1">
      <alignment horizontal="center" vertical="center" wrapText="1"/>
    </xf>
    <xf numFmtId="0" fontId="10" fillId="11" borderId="4" xfId="0" applyFont="1" applyFill="1" applyBorder="1" applyAlignment="1">
      <alignment vertical="center" wrapText="1"/>
    </xf>
    <xf numFmtId="0" fontId="10" fillId="11" borderId="20" xfId="0" applyFont="1" applyFill="1" applyBorder="1" applyAlignment="1">
      <alignment vertical="center" wrapText="1"/>
    </xf>
    <xf numFmtId="0" fontId="10" fillId="11" borderId="0" xfId="0" applyFont="1" applyFill="1" applyAlignment="1">
      <alignment vertical="center" wrapText="1"/>
    </xf>
    <xf numFmtId="0" fontId="24" fillId="0" borderId="0" xfId="0" applyFont="1" applyAlignment="1">
      <alignment vertical="center" wrapText="1"/>
    </xf>
    <xf numFmtId="0" fontId="24" fillId="10" borderId="12" xfId="0" applyFont="1" applyFill="1" applyBorder="1" applyAlignment="1">
      <alignment horizontal="center" vertical="center" wrapText="1"/>
    </xf>
    <xf numFmtId="0" fontId="10" fillId="11" borderId="9" xfId="0" applyFont="1" applyFill="1" applyBorder="1" applyAlignment="1">
      <alignment vertical="center" wrapText="1"/>
    </xf>
    <xf numFmtId="0" fontId="24" fillId="11" borderId="0" xfId="1" applyFont="1" applyFill="1" applyBorder="1" applyAlignment="1">
      <alignment horizontal="center" vertical="center" wrapText="1"/>
    </xf>
    <xf numFmtId="0" fontId="24" fillId="11" borderId="9" xfId="0" applyFont="1" applyFill="1" applyBorder="1" applyAlignment="1">
      <alignment vertical="center" wrapText="1"/>
    </xf>
    <xf numFmtId="0" fontId="10" fillId="11" borderId="0" xfId="1" applyFont="1" applyFill="1" applyBorder="1" applyAlignment="1">
      <alignment horizontal="center" vertical="center" wrapText="1"/>
    </xf>
    <xf numFmtId="0" fontId="24" fillId="0" borderId="0" xfId="0" applyFont="1" applyAlignment="1">
      <alignment horizontal="center" vertical="center" wrapText="1"/>
    </xf>
    <xf numFmtId="0" fontId="24" fillId="0" borderId="9" xfId="0" applyFont="1" applyBorder="1" applyAlignment="1">
      <alignment vertical="center" wrapText="1"/>
    </xf>
    <xf numFmtId="0" fontId="24" fillId="10" borderId="30" xfId="0" applyFont="1" applyFill="1" applyBorder="1" applyAlignment="1">
      <alignment horizontal="center" vertical="center" wrapText="1"/>
    </xf>
    <xf numFmtId="0" fontId="24" fillId="0" borderId="11" xfId="1" applyFont="1" applyFill="1" applyBorder="1" applyAlignment="1">
      <alignment horizontal="center" vertical="center" wrapText="1"/>
    </xf>
    <xf numFmtId="0" fontId="10" fillId="0" borderId="0" xfId="0" applyFont="1" applyAlignment="1">
      <alignment horizontal="center" vertical="center" wrapText="1"/>
    </xf>
    <xf numFmtId="0" fontId="10" fillId="11" borderId="18" xfId="0" applyFont="1" applyFill="1" applyBorder="1" applyAlignment="1">
      <alignment wrapText="1"/>
    </xf>
    <xf numFmtId="0" fontId="10" fillId="11" borderId="18" xfId="0" applyFont="1" applyFill="1" applyBorder="1" applyAlignment="1">
      <alignment vertical="center" wrapText="1"/>
    </xf>
    <xf numFmtId="0" fontId="24" fillId="11" borderId="18" xfId="0" applyFont="1" applyFill="1" applyBorder="1" applyAlignment="1">
      <alignment horizontal="center" vertical="center" wrapText="1"/>
    </xf>
    <xf numFmtId="0" fontId="24" fillId="11" borderId="18" xfId="0" applyFont="1" applyFill="1" applyBorder="1" applyAlignment="1">
      <alignment vertical="center" wrapText="1"/>
    </xf>
    <xf numFmtId="0" fontId="10" fillId="11" borderId="19" xfId="0" applyFont="1" applyFill="1" applyBorder="1" applyAlignment="1">
      <alignment vertical="center" wrapText="1"/>
    </xf>
    <xf numFmtId="0" fontId="10" fillId="11" borderId="17" xfId="0" applyFont="1" applyFill="1" applyBorder="1" applyAlignment="1">
      <alignment vertical="center" wrapText="1"/>
    </xf>
    <xf numFmtId="0" fontId="10" fillId="11" borderId="18" xfId="0" applyFont="1" applyFill="1" applyBorder="1" applyAlignment="1">
      <alignment horizontal="center" vertical="center" wrapText="1"/>
    </xf>
    <xf numFmtId="0" fontId="10" fillId="11" borderId="0" xfId="0" applyFont="1" applyFill="1" applyAlignment="1">
      <alignment wrapText="1"/>
    </xf>
    <xf numFmtId="0" fontId="10" fillId="10" borderId="7" xfId="0" applyFont="1" applyFill="1" applyBorder="1" applyAlignment="1">
      <alignment vertical="center" wrapText="1"/>
    </xf>
    <xf numFmtId="0" fontId="10" fillId="10" borderId="10" xfId="0" applyFont="1" applyFill="1" applyBorder="1" applyAlignment="1">
      <alignment horizontal="center" vertical="center" wrapText="1"/>
    </xf>
    <xf numFmtId="0" fontId="10" fillId="11" borderId="22" xfId="0" applyFont="1" applyFill="1" applyBorder="1" applyAlignment="1">
      <alignment wrapText="1"/>
    </xf>
    <xf numFmtId="0" fontId="10" fillId="11" borderId="22" xfId="0" applyFont="1" applyFill="1" applyBorder="1" applyAlignment="1">
      <alignment vertical="center" wrapText="1"/>
    </xf>
    <xf numFmtId="0" fontId="24" fillId="11" borderId="22" xfId="0" applyFont="1" applyFill="1" applyBorder="1" applyAlignment="1">
      <alignment horizontal="center" vertical="center" wrapText="1"/>
    </xf>
    <xf numFmtId="0" fontId="10" fillId="11" borderId="23" xfId="0" applyFont="1" applyFill="1" applyBorder="1" applyAlignment="1">
      <alignment vertical="center" wrapText="1"/>
    </xf>
    <xf numFmtId="0" fontId="10" fillId="11" borderId="21" xfId="0" applyFont="1" applyFill="1" applyBorder="1" applyAlignment="1">
      <alignment vertical="center" wrapText="1"/>
    </xf>
    <xf numFmtId="0" fontId="24" fillId="11" borderId="22" xfId="0" applyFont="1" applyFill="1" applyBorder="1" applyAlignment="1">
      <alignment vertical="center" wrapText="1"/>
    </xf>
    <xf numFmtId="0" fontId="10" fillId="11" borderId="22" xfId="0" applyFont="1" applyFill="1" applyBorder="1" applyAlignment="1">
      <alignment horizontal="center" vertical="center" wrapText="1"/>
    </xf>
    <xf numFmtId="0" fontId="10" fillId="0" borderId="17" xfId="0" applyFont="1" applyBorder="1" applyAlignment="1">
      <alignment wrapText="1"/>
    </xf>
    <xf numFmtId="0" fontId="10" fillId="0" borderId="18" xfId="0" applyFont="1" applyBorder="1" applyAlignment="1">
      <alignment vertical="center" wrapText="1"/>
    </xf>
    <xf numFmtId="0" fontId="24" fillId="0" borderId="18" xfId="0" applyFont="1" applyBorder="1" applyAlignment="1">
      <alignment horizontal="center" vertical="center" wrapText="1"/>
    </xf>
    <xf numFmtId="0" fontId="10" fillId="0" borderId="19" xfId="0" applyFont="1" applyBorder="1" applyAlignment="1">
      <alignment vertical="center" wrapText="1"/>
    </xf>
    <xf numFmtId="0" fontId="10" fillId="0" borderId="17" xfId="0" applyFont="1" applyBorder="1" applyAlignment="1">
      <alignment vertical="center" wrapText="1"/>
    </xf>
    <xf numFmtId="0" fontId="24" fillId="0" borderId="18" xfId="0" applyFont="1" applyBorder="1" applyAlignment="1">
      <alignment vertical="center" wrapText="1"/>
    </xf>
    <xf numFmtId="0" fontId="10" fillId="0" borderId="18" xfId="0" applyFont="1" applyBorder="1" applyAlignment="1">
      <alignment horizontal="center" vertical="center" wrapText="1"/>
    </xf>
    <xf numFmtId="0" fontId="10" fillId="0" borderId="20" xfId="0" applyFont="1" applyBorder="1" applyAlignment="1">
      <alignment wrapText="1"/>
    </xf>
    <xf numFmtId="0" fontId="10" fillId="0" borderId="4" xfId="0" applyFont="1" applyBorder="1" applyAlignment="1">
      <alignment vertical="center" wrapText="1"/>
    </xf>
    <xf numFmtId="0" fontId="10" fillId="0" borderId="20" xfId="0" applyFont="1" applyBorder="1" applyAlignment="1">
      <alignment vertical="center" wrapText="1"/>
    </xf>
    <xf numFmtId="0" fontId="10" fillId="0" borderId="9" xfId="0" applyFont="1" applyBorder="1" applyAlignment="1">
      <alignment vertical="center" wrapText="1"/>
    </xf>
    <xf numFmtId="0" fontId="10" fillId="10" borderId="10" xfId="0" applyFont="1" applyFill="1" applyBorder="1" applyAlignment="1">
      <alignment vertical="center" wrapText="1"/>
    </xf>
    <xf numFmtId="0" fontId="10" fillId="0" borderId="31" xfId="0" applyFont="1" applyBorder="1" applyAlignment="1">
      <alignment vertical="center" wrapText="1"/>
    </xf>
    <xf numFmtId="0" fontId="10" fillId="11" borderId="17" xfId="0" applyFont="1" applyFill="1" applyBorder="1" applyAlignment="1">
      <alignment wrapText="1"/>
    </xf>
    <xf numFmtId="0" fontId="10" fillId="11" borderId="20" xfId="0" applyFont="1" applyFill="1" applyBorder="1" applyAlignment="1">
      <alignment wrapText="1"/>
    </xf>
    <xf numFmtId="0" fontId="24" fillId="10" borderId="10" xfId="0" applyFont="1" applyFill="1" applyBorder="1" applyAlignment="1">
      <alignment vertical="center" wrapText="1"/>
    </xf>
    <xf numFmtId="0" fontId="10" fillId="11" borderId="21" xfId="0" applyFont="1" applyFill="1" applyBorder="1" applyAlignment="1">
      <alignment wrapText="1"/>
    </xf>
    <xf numFmtId="0" fontId="5" fillId="3" borderId="1" xfId="1" applyFill="1" applyBorder="1" applyAlignment="1">
      <alignment vertical="center"/>
    </xf>
    <xf numFmtId="0" fontId="5" fillId="3" borderId="0" xfId="1" applyFill="1" applyBorder="1" applyAlignment="1">
      <alignment vertical="center"/>
    </xf>
    <xf numFmtId="0" fontId="5" fillId="0" borderId="0" xfId="1" applyAlignment="1">
      <alignment vertical="center"/>
    </xf>
    <xf numFmtId="0" fontId="22" fillId="3" borderId="0" xfId="0" applyFont="1" applyFill="1" applyAlignment="1">
      <alignment vertical="center"/>
    </xf>
    <xf numFmtId="0" fontId="26" fillId="3" borderId="1" xfId="0" applyFont="1" applyFill="1" applyBorder="1" applyAlignment="1">
      <alignment vertical="center"/>
    </xf>
    <xf numFmtId="0" fontId="9" fillId="3" borderId="3" xfId="0" applyFont="1" applyFill="1" applyBorder="1" applyAlignment="1">
      <alignment vertical="center"/>
    </xf>
    <xf numFmtId="0" fontId="9" fillId="0" borderId="0" xfId="0" applyFont="1"/>
    <xf numFmtId="0" fontId="0" fillId="13" borderId="0" xfId="0" applyFill="1"/>
    <xf numFmtId="0" fontId="0" fillId="4" borderId="0" xfId="0" applyFill="1"/>
    <xf numFmtId="0" fontId="0" fillId="15" borderId="0" xfId="0" applyFill="1"/>
    <xf numFmtId="0" fontId="0" fillId="6" borderId="0" xfId="0" applyFill="1"/>
    <xf numFmtId="0" fontId="0" fillId="10" borderId="0" xfId="0" applyFill="1"/>
    <xf numFmtId="0" fontId="27" fillId="8" borderId="0" xfId="0" applyFont="1" applyFill="1"/>
    <xf numFmtId="0" fontId="28" fillId="0" borderId="0" xfId="0" applyFont="1" applyAlignment="1">
      <alignment horizontal="left" vertical="center" readingOrder="1"/>
    </xf>
    <xf numFmtId="0" fontId="0" fillId="5" borderId="0" xfId="0" applyFill="1"/>
    <xf numFmtId="0" fontId="0" fillId="16" borderId="0" xfId="0" applyFill="1"/>
    <xf numFmtId="0" fontId="10" fillId="10" borderId="0" xfId="0" applyFont="1" applyFill="1"/>
    <xf numFmtId="0" fontId="27" fillId="0" borderId="0" xfId="0" applyFont="1"/>
    <xf numFmtId="0" fontId="26" fillId="0" borderId="36" xfId="0" applyFont="1" applyBorder="1"/>
    <xf numFmtId="0" fontId="0" fillId="0" borderId="36" xfId="0" applyBorder="1"/>
    <xf numFmtId="0" fontId="0" fillId="0" borderId="37" xfId="0" applyBorder="1"/>
    <xf numFmtId="0" fontId="26" fillId="0" borderId="0" xfId="0" applyFont="1"/>
    <xf numFmtId="0" fontId="0" fillId="10" borderId="0" xfId="0" applyFill="1" applyAlignment="1">
      <alignment vertical="center" wrapText="1"/>
    </xf>
    <xf numFmtId="0" fontId="0" fillId="4" borderId="0" xfId="0" applyFill="1" applyAlignment="1">
      <alignment vertical="center" wrapText="1"/>
    </xf>
    <xf numFmtId="0" fontId="0" fillId="13" borderId="0" xfId="0" applyFill="1" applyAlignment="1">
      <alignment vertical="center" wrapText="1"/>
    </xf>
    <xf numFmtId="0" fontId="0" fillId="5" borderId="0" xfId="0" applyFill="1" applyAlignment="1">
      <alignment vertical="center" wrapText="1"/>
    </xf>
    <xf numFmtId="0" fontId="0" fillId="3" borderId="44" xfId="0" applyFill="1" applyBorder="1" applyAlignment="1">
      <alignment vertical="center"/>
    </xf>
    <xf numFmtId="0" fontId="3" fillId="3" borderId="2" xfId="0" applyFont="1" applyFill="1" applyBorder="1" applyAlignment="1">
      <alignment vertical="center"/>
    </xf>
    <xf numFmtId="0" fontId="3" fillId="3" borderId="2" xfId="0" applyFont="1" applyFill="1" applyBorder="1" applyAlignment="1">
      <alignment horizontal="right" vertical="center"/>
    </xf>
    <xf numFmtId="0" fontId="1" fillId="2" borderId="45"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0" fillId="3" borderId="47" xfId="0" applyFill="1" applyBorder="1" applyAlignment="1">
      <alignment vertical="center"/>
    </xf>
    <xf numFmtId="0" fontId="0" fillId="3" borderId="48" xfId="0" applyFill="1" applyBorder="1" applyAlignment="1">
      <alignment vertical="center"/>
    </xf>
    <xf numFmtId="0" fontId="0" fillId="5" borderId="47" xfId="0" applyFill="1" applyBorder="1" applyAlignment="1">
      <alignment horizontal="center" vertical="center"/>
    </xf>
    <xf numFmtId="0" fontId="0" fillId="5" borderId="48" xfId="0" applyFill="1" applyBorder="1" applyAlignment="1">
      <alignment horizontal="center" vertical="center"/>
    </xf>
    <xf numFmtId="0" fontId="0" fillId="4" borderId="48" xfId="0" applyFill="1" applyBorder="1" applyAlignment="1">
      <alignment horizontal="center" vertical="center"/>
    </xf>
    <xf numFmtId="0" fontId="0" fillId="6" borderId="47" xfId="0" applyFill="1" applyBorder="1" applyAlignment="1">
      <alignment horizontal="center" vertical="center"/>
    </xf>
    <xf numFmtId="0" fontId="0" fillId="6" borderId="48" xfId="0" applyFill="1" applyBorder="1" applyAlignment="1">
      <alignment horizontal="center" vertical="center"/>
    </xf>
    <xf numFmtId="0" fontId="0" fillId="4" borderId="47" xfId="0" applyFill="1" applyBorder="1" applyAlignment="1">
      <alignment horizontal="center" vertical="center"/>
    </xf>
    <xf numFmtId="0" fontId="4" fillId="5" borderId="47" xfId="0" applyFont="1" applyFill="1" applyBorder="1" applyAlignment="1">
      <alignment horizontal="center" vertical="center"/>
    </xf>
    <xf numFmtId="0" fontId="22" fillId="5" borderId="47" xfId="0" applyFont="1" applyFill="1" applyBorder="1" applyAlignment="1">
      <alignment horizontal="center" vertical="center"/>
    </xf>
    <xf numFmtId="0" fontId="22" fillId="4" borderId="48" xfId="0" applyFont="1" applyFill="1" applyBorder="1" applyAlignment="1">
      <alignment horizontal="center" vertical="center"/>
    </xf>
    <xf numFmtId="0" fontId="22" fillId="4" borderId="47" xfId="0" applyFont="1" applyFill="1" applyBorder="1" applyAlignment="1">
      <alignment horizontal="center" vertical="center"/>
    </xf>
    <xf numFmtId="0" fontId="22" fillId="6" borderId="47" xfId="0" applyFont="1" applyFill="1" applyBorder="1" applyAlignment="1">
      <alignment horizontal="center" vertical="center"/>
    </xf>
    <xf numFmtId="0" fontId="22" fillId="5" borderId="48" xfId="0" applyFont="1" applyFill="1" applyBorder="1" applyAlignment="1">
      <alignment horizontal="center" vertical="center"/>
    </xf>
    <xf numFmtId="0" fontId="0" fillId="7" borderId="47" xfId="0" applyFill="1" applyBorder="1" applyAlignment="1">
      <alignment horizontal="center" vertical="center"/>
    </xf>
    <xf numFmtId="0" fontId="0" fillId="7" borderId="48" xfId="0" applyFill="1" applyBorder="1" applyAlignment="1">
      <alignment horizontal="center" vertical="center"/>
    </xf>
    <xf numFmtId="0" fontId="0" fillId="9" borderId="47" xfId="0" applyFill="1" applyBorder="1" applyAlignment="1">
      <alignment horizontal="center" vertical="center"/>
    </xf>
    <xf numFmtId="0" fontId="0" fillId="8" borderId="47" xfId="0" applyFill="1" applyBorder="1" applyAlignment="1">
      <alignment horizontal="center" vertical="center"/>
    </xf>
    <xf numFmtId="0" fontId="0" fillId="8" borderId="48" xfId="0" applyFill="1" applyBorder="1" applyAlignment="1">
      <alignment horizontal="center" vertical="center"/>
    </xf>
    <xf numFmtId="0" fontId="0" fillId="0" borderId="47" xfId="0" applyBorder="1" applyAlignment="1">
      <alignment vertical="center"/>
    </xf>
    <xf numFmtId="0" fontId="0" fillId="0" borderId="48" xfId="0" applyBorder="1" applyAlignment="1">
      <alignment vertical="center"/>
    </xf>
    <xf numFmtId="0" fontId="0" fillId="6" borderId="49" xfId="0" applyFill="1" applyBorder="1" applyAlignment="1">
      <alignment horizontal="center" vertical="center"/>
    </xf>
    <xf numFmtId="0" fontId="3" fillId="3" borderId="44" xfId="0" applyFont="1" applyFill="1" applyBorder="1" applyAlignment="1">
      <alignment vertical="center"/>
    </xf>
    <xf numFmtId="0" fontId="1" fillId="2" borderId="51" xfId="0" applyFont="1" applyFill="1" applyBorder="1" applyAlignment="1">
      <alignment horizontal="center" vertical="center" wrapText="1"/>
    </xf>
    <xf numFmtId="0" fontId="0" fillId="3" borderId="52" xfId="0" applyFill="1" applyBorder="1" applyAlignment="1">
      <alignment vertical="center"/>
    </xf>
    <xf numFmtId="0" fontId="0" fillId="5" borderId="52" xfId="0" applyFill="1" applyBorder="1" applyAlignment="1">
      <alignment horizontal="center" vertical="center"/>
    </xf>
    <xf numFmtId="0" fontId="0" fillId="4" borderId="52" xfId="0" applyFill="1" applyBorder="1" applyAlignment="1">
      <alignment horizontal="center" vertical="center"/>
    </xf>
    <xf numFmtId="0" fontId="0" fillId="6" borderId="52" xfId="0" applyFill="1" applyBorder="1" applyAlignment="1">
      <alignment horizontal="center" vertical="center"/>
    </xf>
    <xf numFmtId="0" fontId="22" fillId="5" borderId="52" xfId="0" applyFont="1" applyFill="1" applyBorder="1" applyAlignment="1">
      <alignment horizontal="center" vertical="center"/>
    </xf>
    <xf numFmtId="0" fontId="0" fillId="7" borderId="52" xfId="0" applyFill="1" applyBorder="1" applyAlignment="1">
      <alignment horizontal="center" vertical="center"/>
    </xf>
    <xf numFmtId="0" fontId="0" fillId="8" borderId="52" xfId="0" applyFill="1" applyBorder="1" applyAlignment="1">
      <alignment horizontal="center" vertical="center"/>
    </xf>
    <xf numFmtId="0" fontId="0" fillId="0" borderId="52" xfId="0" applyBorder="1" applyAlignment="1">
      <alignment vertical="center"/>
    </xf>
    <xf numFmtId="0" fontId="0" fillId="4" borderId="53" xfId="0" applyFill="1" applyBorder="1" applyAlignment="1">
      <alignment horizontal="center" vertical="center"/>
    </xf>
    <xf numFmtId="0" fontId="6" fillId="3" borderId="2" xfId="1" applyFont="1" applyFill="1" applyBorder="1" applyAlignment="1">
      <alignment vertical="center"/>
    </xf>
    <xf numFmtId="0" fontId="29" fillId="3" borderId="1" xfId="1" applyFont="1" applyFill="1" applyBorder="1" applyAlignment="1">
      <alignment vertical="center"/>
    </xf>
    <xf numFmtId="0" fontId="0" fillId="5" borderId="0" xfId="0" applyFill="1" applyAlignment="1">
      <alignment horizontal="center" vertical="center"/>
    </xf>
    <xf numFmtId="0" fontId="3" fillId="3" borderId="54" xfId="0" applyFont="1" applyFill="1" applyBorder="1" applyAlignment="1">
      <alignment vertical="center"/>
    </xf>
    <xf numFmtId="0" fontId="0" fillId="5" borderId="55" xfId="0" applyFill="1" applyBorder="1" applyAlignment="1">
      <alignment horizontal="center" vertical="center"/>
    </xf>
    <xf numFmtId="0" fontId="0" fillId="4" borderId="55" xfId="0" applyFill="1" applyBorder="1" applyAlignment="1">
      <alignment horizontal="center" vertical="center"/>
    </xf>
    <xf numFmtId="0" fontId="3" fillId="3" borderId="56" xfId="0" applyFont="1" applyFill="1" applyBorder="1" applyAlignment="1">
      <alignment vertical="center"/>
    </xf>
    <xf numFmtId="0" fontId="10" fillId="3" borderId="1" xfId="0" applyFont="1" applyFill="1" applyBorder="1" applyAlignment="1">
      <alignment horizontal="right" vertical="center"/>
    </xf>
    <xf numFmtId="0" fontId="10" fillId="5" borderId="47" xfId="0" applyFont="1" applyFill="1" applyBorder="1" applyAlignment="1">
      <alignment horizontal="center" vertical="center"/>
    </xf>
    <xf numFmtId="0" fontId="10" fillId="4" borderId="48" xfId="0" applyFont="1" applyFill="1" applyBorder="1" applyAlignment="1">
      <alignment horizontal="center" vertical="center"/>
    </xf>
    <xf numFmtId="0" fontId="10" fillId="4" borderId="52" xfId="0" applyFont="1" applyFill="1" applyBorder="1" applyAlignment="1">
      <alignment horizontal="center" vertical="center"/>
    </xf>
    <xf numFmtId="0" fontId="0" fillId="0" borderId="38" xfId="0" applyBorder="1"/>
    <xf numFmtId="0" fontId="17" fillId="0" borderId="39" xfId="0" applyFont="1" applyBorder="1" applyAlignment="1">
      <alignment vertical="center"/>
    </xf>
    <xf numFmtId="0" fontId="12" fillId="0" borderId="39" xfId="0" applyFont="1" applyBorder="1" applyAlignment="1">
      <alignment horizontal="center" vertical="center"/>
    </xf>
    <xf numFmtId="0" fontId="12" fillId="0" borderId="39" xfId="0" applyFont="1" applyBorder="1" applyAlignment="1">
      <alignment vertical="center"/>
    </xf>
    <xf numFmtId="0" fontId="0" fillId="0" borderId="39" xfId="0" applyBorder="1" applyAlignment="1">
      <alignment vertical="center"/>
    </xf>
    <xf numFmtId="0" fontId="0" fillId="0" borderId="39" xfId="0" applyBorder="1" applyAlignment="1">
      <alignment horizontal="center" vertical="center"/>
    </xf>
    <xf numFmtId="0" fontId="0" fillId="0" borderId="40" xfId="0" applyBorder="1" applyAlignment="1">
      <alignment vertical="center"/>
    </xf>
    <xf numFmtId="0" fontId="0" fillId="0" borderId="5" xfId="0" applyBorder="1"/>
    <xf numFmtId="0" fontId="17"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0" fillId="0" borderId="6" xfId="0" applyBorder="1" applyAlignment="1">
      <alignment vertical="center"/>
    </xf>
    <xf numFmtId="0" fontId="0" fillId="0" borderId="5" xfId="0" applyBorder="1" applyAlignment="1">
      <alignment wrapText="1"/>
    </xf>
    <xf numFmtId="0" fontId="0" fillId="0" borderId="6" xfId="0" applyBorder="1" applyAlignment="1">
      <alignment vertical="center" wrapText="1"/>
    </xf>
    <xf numFmtId="0" fontId="20" fillId="0" borderId="5" xfId="0" applyFont="1" applyBorder="1"/>
    <xf numFmtId="0" fontId="21"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20" fillId="0" borderId="6" xfId="0" applyFont="1" applyBorder="1" applyAlignment="1">
      <alignment vertical="center"/>
    </xf>
    <xf numFmtId="0" fontId="0" fillId="0" borderId="5" xfId="0" applyBorder="1" applyAlignment="1">
      <alignment horizontal="left"/>
    </xf>
    <xf numFmtId="0" fontId="18" fillId="10" borderId="0" xfId="0" applyFont="1" applyFill="1" applyAlignment="1">
      <alignment horizontal="left" vertical="center"/>
    </xf>
    <xf numFmtId="0" fontId="19" fillId="0" borderId="0" xfId="0" applyFont="1" applyAlignment="1">
      <alignment horizontal="left" vertical="center"/>
    </xf>
    <xf numFmtId="0" fontId="19" fillId="13" borderId="0" xfId="0" applyFont="1" applyFill="1" applyAlignment="1">
      <alignment horizontal="left" vertical="center"/>
    </xf>
    <xf numFmtId="0" fontId="18" fillId="0" borderId="0" xfId="0" applyFont="1" applyAlignment="1">
      <alignment horizontal="left" vertical="center"/>
    </xf>
    <xf numFmtId="0" fontId="18" fillId="4" borderId="0" xfId="0" applyFont="1" applyFill="1" applyAlignment="1">
      <alignment horizontal="left" vertical="center"/>
    </xf>
    <xf numFmtId="0" fontId="19" fillId="5" borderId="0" xfId="0" applyFont="1" applyFill="1" applyAlignment="1">
      <alignment horizontal="left" vertical="center"/>
    </xf>
    <xf numFmtId="0" fontId="18" fillId="12" borderId="0" xfId="0" applyFont="1" applyFill="1" applyAlignment="1">
      <alignment horizontal="left" vertical="center"/>
    </xf>
    <xf numFmtId="0" fontId="18" fillId="8" borderId="0" xfId="0" applyFont="1" applyFill="1" applyAlignment="1">
      <alignment horizontal="left" vertical="center"/>
    </xf>
    <xf numFmtId="0" fontId="0" fillId="0" borderId="6" xfId="0" applyBorder="1" applyAlignment="1">
      <alignment horizontal="left" vertical="center"/>
    </xf>
    <xf numFmtId="0" fontId="14" fillId="0" borderId="41" xfId="0" applyFont="1" applyBorder="1" applyAlignment="1">
      <alignment wrapText="1"/>
    </xf>
    <xf numFmtId="0" fontId="14" fillId="0" borderId="42" xfId="0" applyFont="1" applyBorder="1" applyAlignment="1">
      <alignment wrapText="1"/>
    </xf>
    <xf numFmtId="0" fontId="12" fillId="0" borderId="42" xfId="0" applyFont="1" applyBorder="1" applyAlignment="1">
      <alignment horizontal="center" vertical="center" wrapText="1"/>
    </xf>
    <xf numFmtId="0" fontId="12" fillId="0" borderId="42" xfId="0" applyFont="1" applyBorder="1" applyAlignment="1">
      <alignment vertical="center" wrapText="1"/>
    </xf>
    <xf numFmtId="0" fontId="0" fillId="0" borderId="42" xfId="0" applyBorder="1" applyAlignment="1">
      <alignment vertical="center" wrapText="1"/>
    </xf>
    <xf numFmtId="0" fontId="0" fillId="0" borderId="42" xfId="0" applyBorder="1" applyAlignment="1">
      <alignment horizontal="center" vertical="center" wrapText="1"/>
    </xf>
    <xf numFmtId="0" fontId="0" fillId="0" borderId="43" xfId="0" applyBorder="1" applyAlignment="1">
      <alignment vertical="center" wrapText="1"/>
    </xf>
    <xf numFmtId="0" fontId="18" fillId="16" borderId="0" xfId="0" applyFont="1" applyFill="1" applyAlignment="1">
      <alignment horizontal="left" vertical="center"/>
    </xf>
    <xf numFmtId="0" fontId="24" fillId="0" borderId="13" xfId="1" applyFont="1" applyFill="1" applyBorder="1" applyAlignment="1">
      <alignment horizontal="center" vertical="center" wrapText="1"/>
    </xf>
    <xf numFmtId="0" fontId="10" fillId="3" borderId="2" xfId="0" applyFont="1" applyFill="1" applyBorder="1" applyAlignment="1">
      <alignment vertical="center"/>
    </xf>
    <xf numFmtId="0" fontId="10" fillId="3" borderId="47" xfId="0" applyFont="1" applyFill="1" applyBorder="1" applyAlignment="1">
      <alignment vertical="center"/>
    </xf>
    <xf numFmtId="0" fontId="10" fillId="3" borderId="48" xfId="0" applyFont="1" applyFill="1" applyBorder="1" applyAlignment="1">
      <alignment vertical="center"/>
    </xf>
    <xf numFmtId="0" fontId="10" fillId="3" borderId="52" xfId="0" applyFont="1" applyFill="1" applyBorder="1" applyAlignment="1">
      <alignment vertical="center"/>
    </xf>
    <xf numFmtId="0" fontId="0" fillId="3" borderId="2" xfId="0" applyFill="1" applyBorder="1" applyAlignment="1">
      <alignment horizontal="right" vertical="center"/>
    </xf>
    <xf numFmtId="0" fontId="0" fillId="5" borderId="47" xfId="0" applyFill="1" applyBorder="1" applyAlignment="1">
      <alignment vertical="center"/>
    </xf>
    <xf numFmtId="0" fontId="0" fillId="5" borderId="48" xfId="0" applyFill="1" applyBorder="1" applyAlignment="1">
      <alignment vertical="center"/>
    </xf>
    <xf numFmtId="0" fontId="0" fillId="4" borderId="52" xfId="0" applyFill="1" applyBorder="1" applyAlignment="1">
      <alignment vertical="center"/>
    </xf>
    <xf numFmtId="0" fontId="26" fillId="0" borderId="57" xfId="0" applyFont="1" applyBorder="1"/>
    <xf numFmtId="0" fontId="0" fillId="0" borderId="57" xfId="0" applyBorder="1"/>
    <xf numFmtId="0" fontId="1" fillId="2" borderId="58" xfId="0" applyFont="1" applyFill="1" applyBorder="1" applyAlignment="1">
      <alignment horizontal="center" vertical="center" wrapText="1"/>
    </xf>
    <xf numFmtId="0" fontId="0" fillId="3" borderId="59" xfId="0" applyFill="1" applyBorder="1" applyAlignment="1">
      <alignment vertical="center"/>
    </xf>
    <xf numFmtId="0" fontId="0" fillId="4" borderId="59" xfId="0" applyFill="1" applyBorder="1" applyAlignment="1">
      <alignment horizontal="center" vertical="center"/>
    </xf>
    <xf numFmtId="0" fontId="0" fillId="5" borderId="59" xfId="0" applyFill="1" applyBorder="1" applyAlignment="1">
      <alignment horizontal="center" vertical="center"/>
    </xf>
    <xf numFmtId="0" fontId="0" fillId="6" borderId="59" xfId="0" applyFill="1" applyBorder="1" applyAlignment="1">
      <alignment horizontal="center" vertical="center"/>
    </xf>
    <xf numFmtId="0" fontId="22" fillId="4" borderId="59" xfId="0" applyFont="1" applyFill="1" applyBorder="1" applyAlignment="1">
      <alignment horizontal="center" vertical="center"/>
    </xf>
    <xf numFmtId="0" fontId="22" fillId="6" borderId="59" xfId="0" applyFont="1" applyFill="1" applyBorder="1" applyAlignment="1">
      <alignment horizontal="center" vertical="center"/>
    </xf>
    <xf numFmtId="0" fontId="0" fillId="7" borderId="59" xfId="0" applyFill="1" applyBorder="1" applyAlignment="1">
      <alignment horizontal="center" vertical="center"/>
    </xf>
    <xf numFmtId="0" fontId="0" fillId="8" borderId="59" xfId="0" applyFill="1" applyBorder="1" applyAlignment="1">
      <alignment horizontal="center" vertical="center"/>
    </xf>
    <xf numFmtId="0" fontId="0" fillId="4" borderId="0" xfId="0" applyFill="1" applyAlignment="1">
      <alignment horizontal="center" vertical="center"/>
    </xf>
    <xf numFmtId="0" fontId="0" fillId="4" borderId="59" xfId="0" applyFill="1" applyBorder="1" applyAlignment="1">
      <alignment vertical="center"/>
    </xf>
    <xf numFmtId="0" fontId="10" fillId="3" borderId="59" xfId="0" applyFont="1" applyFill="1" applyBorder="1" applyAlignment="1">
      <alignment vertical="center"/>
    </xf>
    <xf numFmtId="0" fontId="10" fillId="4" borderId="59" xfId="0" applyFont="1" applyFill="1" applyBorder="1" applyAlignment="1">
      <alignment horizontal="center" vertical="center"/>
    </xf>
    <xf numFmtId="0" fontId="23" fillId="5" borderId="59" xfId="0" applyFont="1" applyFill="1" applyBorder="1" applyAlignment="1">
      <alignment horizontal="center" vertical="center"/>
    </xf>
    <xf numFmtId="0" fontId="0" fillId="0" borderId="59" xfId="0" applyBorder="1" applyAlignment="1">
      <alignment vertical="center"/>
    </xf>
    <xf numFmtId="0" fontId="0" fillId="4" borderId="60" xfId="0" applyFill="1" applyBorder="1" applyAlignment="1">
      <alignment horizontal="center" vertical="center"/>
    </xf>
    <xf numFmtId="0" fontId="0" fillId="3" borderId="61" xfId="0" applyFill="1" applyBorder="1" applyAlignment="1">
      <alignment vertical="center"/>
    </xf>
    <xf numFmtId="0" fontId="10" fillId="3" borderId="61" xfId="0" applyFont="1" applyFill="1" applyBorder="1" applyAlignment="1">
      <alignment vertical="center"/>
    </xf>
    <xf numFmtId="0" fontId="0" fillId="0" borderId="61" xfId="0" applyBorder="1" applyAlignment="1">
      <alignment vertical="center"/>
    </xf>
    <xf numFmtId="0" fontId="10" fillId="3" borderId="2" xfId="1" applyFont="1" applyFill="1" applyBorder="1" applyAlignment="1">
      <alignment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9" fillId="3" borderId="1" xfId="0" applyFont="1" applyFill="1" applyBorder="1" applyAlignment="1">
      <alignment horizontal="center" vertical="center"/>
    </xf>
    <xf numFmtId="0" fontId="10" fillId="3" borderId="1" xfId="1" applyFont="1" applyFill="1"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wrapText="1"/>
    </xf>
    <xf numFmtId="0" fontId="0" fillId="4" borderId="62" xfId="0" applyFill="1" applyBorder="1" applyAlignment="1">
      <alignment horizontal="center" vertical="center"/>
    </xf>
    <xf numFmtId="0" fontId="4" fillId="5" borderId="48" xfId="0" applyFont="1" applyFill="1" applyBorder="1" applyAlignment="1">
      <alignment horizontal="center" vertical="center"/>
    </xf>
    <xf numFmtId="0" fontId="0" fillId="5" borderId="50" xfId="0" applyFill="1" applyBorder="1" applyAlignment="1">
      <alignment horizontal="center" vertical="center"/>
    </xf>
    <xf numFmtId="0" fontId="2" fillId="3" borderId="0" xfId="0" applyFont="1" applyFill="1" applyAlignment="1">
      <alignment horizontal="left" vertical="center" indent="1"/>
    </xf>
    <xf numFmtId="0" fontId="0" fillId="3" borderId="44" xfId="0" applyFill="1" applyBorder="1" applyAlignment="1">
      <alignment horizontal="center" vertical="center"/>
    </xf>
    <xf numFmtId="0" fontId="3" fillId="3" borderId="1" xfId="0" applyFont="1" applyFill="1" applyBorder="1" applyAlignment="1">
      <alignment horizontal="center" vertical="center"/>
    </xf>
    <xf numFmtId="0" fontId="0" fillId="3" borderId="3" xfId="0" applyFill="1" applyBorder="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0" fillId="3" borderId="0" xfId="0" applyFill="1" applyAlignment="1">
      <alignment vertical="top"/>
    </xf>
    <xf numFmtId="0" fontId="22"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0" fillId="3" borderId="3" xfId="0" applyFill="1" applyBorder="1" applyAlignment="1">
      <alignment vertical="top" wrapText="1"/>
    </xf>
    <xf numFmtId="0" fontId="26" fillId="0" borderId="0" xfId="0" applyFont="1" applyAlignment="1">
      <alignment vertical="center"/>
    </xf>
    <xf numFmtId="0" fontId="6" fillId="0" borderId="0" xfId="1" applyFont="1" applyAlignment="1">
      <alignment horizontal="left" vertical="center" indent="1"/>
    </xf>
    <xf numFmtId="0" fontId="26" fillId="0" borderId="0" xfId="0" applyFont="1" applyAlignment="1">
      <alignment vertical="top"/>
    </xf>
    <xf numFmtId="0" fontId="6" fillId="0" borderId="0" xfId="1" applyFont="1" applyAlignment="1">
      <alignment horizontal="left" indent="2"/>
    </xf>
    <xf numFmtId="0" fontId="6" fillId="0" borderId="0" xfId="1" applyFont="1" applyAlignment="1">
      <alignment horizontal="left" vertical="center" indent="2"/>
    </xf>
    <xf numFmtId="0" fontId="2" fillId="0" borderId="0" xfId="0" applyFont="1" applyAlignment="1">
      <alignment horizontal="left" vertical="center" indent="1"/>
    </xf>
    <xf numFmtId="0" fontId="3" fillId="0" borderId="0" xfId="0" applyFont="1" applyAlignment="1">
      <alignment horizontal="left" vertical="center" indent="2"/>
    </xf>
    <xf numFmtId="0" fontId="6" fillId="3" borderId="1" xfId="1" applyFont="1" applyFill="1" applyBorder="1" applyAlignment="1">
      <alignment horizontal="left" vertical="center" indent="2"/>
    </xf>
    <xf numFmtId="0" fontId="1" fillId="2" borderId="1" xfId="0" applyFont="1" applyFill="1" applyBorder="1" applyAlignment="1">
      <alignment horizontal="left" vertical="center" wrapText="1"/>
    </xf>
    <xf numFmtId="0" fontId="0" fillId="3" borderId="2" xfId="0" applyFill="1" applyBorder="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3" fillId="3" borderId="0" xfId="0" applyFont="1" applyFill="1" applyAlignment="1">
      <alignment horizontal="left" vertical="center"/>
    </xf>
    <xf numFmtId="0" fontId="6" fillId="0" borderId="0" xfId="1" applyFont="1" applyAlignment="1">
      <alignment horizontal="left" vertical="center" indent="3"/>
    </xf>
    <xf numFmtId="0" fontId="31" fillId="0" borderId="0" xfId="1" applyFont="1" applyAlignment="1">
      <alignment horizontal="left" vertical="center" indent="2"/>
    </xf>
    <xf numFmtId="0" fontId="6" fillId="3" borderId="1" xfId="1" applyFont="1" applyFill="1" applyBorder="1" applyAlignment="1">
      <alignment horizontal="left" vertical="center" indent="3"/>
    </xf>
    <xf numFmtId="0" fontId="5" fillId="0" borderId="0" xfId="1"/>
    <xf numFmtId="0" fontId="6" fillId="3" borderId="1" xfId="1" applyFont="1" applyFill="1" applyBorder="1" applyAlignment="1">
      <alignment horizontal="left" vertical="center" indent="1"/>
    </xf>
    <xf numFmtId="0" fontId="9" fillId="3" borderId="1" xfId="1" applyFont="1" applyFill="1" applyBorder="1" applyAlignment="1">
      <alignment horizontal="left" vertical="center" indent="2"/>
    </xf>
    <xf numFmtId="0" fontId="0" fillId="0" borderId="0" xfId="0" applyAlignment="1">
      <alignment horizontal="left" indent="1"/>
    </xf>
    <xf numFmtId="0" fontId="26" fillId="0" borderId="0" xfId="0" applyFont="1" applyAlignment="1">
      <alignment horizontal="left" indent="1"/>
    </xf>
    <xf numFmtId="0" fontId="0" fillId="0" borderId="0" xfId="0" applyAlignment="1">
      <alignment horizontal="left" indent="2"/>
    </xf>
    <xf numFmtId="0" fontId="2" fillId="0" borderId="1" xfId="0" applyFont="1" applyBorder="1" applyAlignment="1">
      <alignment horizontal="left" vertical="center" indent="1"/>
    </xf>
    <xf numFmtId="0" fontId="2" fillId="3" borderId="1" xfId="0" applyFont="1" applyFill="1" applyBorder="1" applyAlignment="1">
      <alignment horizontal="left" vertical="center" indent="1"/>
    </xf>
    <xf numFmtId="0" fontId="3" fillId="3" borderId="1" xfId="0" applyFont="1" applyFill="1" applyBorder="1" applyAlignment="1">
      <alignment horizontal="left" vertical="center" indent="2"/>
    </xf>
    <xf numFmtId="0" fontId="2" fillId="3" borderId="1" xfId="0" applyFont="1" applyFill="1" applyBorder="1" applyAlignment="1">
      <alignment horizontal="left" vertical="center" indent="2"/>
    </xf>
    <xf numFmtId="0" fontId="2" fillId="3" borderId="1" xfId="0" applyFont="1" applyFill="1" applyBorder="1" applyAlignment="1">
      <alignment horizontal="left" vertical="center"/>
    </xf>
    <xf numFmtId="0" fontId="29" fillId="3" borderId="1" xfId="1" applyFont="1" applyFill="1" applyBorder="1" applyAlignment="1">
      <alignment horizontal="left" vertical="center" indent="2"/>
    </xf>
    <xf numFmtId="0" fontId="6" fillId="3" borderId="1" xfId="1" applyFont="1" applyFill="1" applyBorder="1" applyAlignment="1">
      <alignment horizontal="left" vertical="center" wrapText="1" indent="2"/>
    </xf>
    <xf numFmtId="0" fontId="22" fillId="3" borderId="0" xfId="0" applyFont="1" applyFill="1" applyAlignment="1">
      <alignment vertical="center" wrapText="1"/>
    </xf>
    <xf numFmtId="0" fontId="0" fillId="3" borderId="2" xfId="0" applyFill="1" applyBorder="1" applyAlignment="1">
      <alignment vertical="center" wrapText="1"/>
    </xf>
    <xf numFmtId="3" fontId="3" fillId="3" borderId="2" xfId="0" applyNumberFormat="1" applyFont="1" applyFill="1" applyBorder="1" applyAlignment="1">
      <alignment horizontal="right" vertical="center"/>
    </xf>
    <xf numFmtId="0" fontId="24" fillId="0" borderId="8" xfId="1" applyFont="1" applyFill="1" applyBorder="1" applyAlignment="1">
      <alignment horizontal="center" vertical="center" wrapText="1"/>
    </xf>
    <xf numFmtId="0" fontId="10" fillId="0" borderId="34" xfId="1" applyFont="1" applyBorder="1" applyAlignment="1">
      <alignment horizontal="center" vertical="center" wrapText="1"/>
    </xf>
    <xf numFmtId="0" fontId="10" fillId="10" borderId="64" xfId="0" applyFont="1" applyFill="1" applyBorder="1" applyAlignment="1">
      <alignment horizontal="center" vertical="center" wrapText="1"/>
    </xf>
    <xf numFmtId="0" fontId="24" fillId="0" borderId="15" xfId="1" applyFont="1" applyFill="1" applyBorder="1" applyAlignment="1">
      <alignment horizontal="center" vertical="center" wrapText="1"/>
    </xf>
    <xf numFmtId="0" fontId="0" fillId="0" borderId="63" xfId="0" applyBorder="1" applyAlignment="1">
      <alignment wrapText="1"/>
    </xf>
    <xf numFmtId="0" fontId="0" fillId="0" borderId="63" xfId="0" applyBorder="1"/>
    <xf numFmtId="0" fontId="0" fillId="0" borderId="66" xfId="0" applyBorder="1"/>
    <xf numFmtId="0" fontId="26" fillId="0" borderId="66" xfId="0" applyFont="1" applyBorder="1"/>
    <xf numFmtId="9" fontId="0" fillId="0" borderId="63" xfId="0" applyNumberFormat="1" applyBorder="1"/>
    <xf numFmtId="0" fontId="0" fillId="0" borderId="0" xfId="0" applyAlignment="1">
      <alignment horizontal="center" vertical="center" textRotation="90"/>
    </xf>
    <xf numFmtId="0" fontId="5" fillId="0" borderId="0" xfId="1" applyAlignment="1">
      <alignment wrapText="1"/>
    </xf>
    <xf numFmtId="0" fontId="10" fillId="0" borderId="0" xfId="1" applyFont="1" applyAlignment="1">
      <alignment wrapText="1"/>
    </xf>
    <xf numFmtId="0" fontId="32" fillId="17" borderId="71" xfId="0" applyFont="1" applyFill="1" applyBorder="1"/>
    <xf numFmtId="0" fontId="14" fillId="0" borderId="65" xfId="1" applyFont="1" applyBorder="1" applyAlignment="1">
      <alignment horizontal="center" vertical="center" wrapText="1"/>
    </xf>
    <xf numFmtId="0" fontId="14" fillId="0" borderId="15" xfId="1" applyFont="1" applyBorder="1" applyAlignment="1">
      <alignment horizontal="center" vertical="center" wrapText="1"/>
    </xf>
    <xf numFmtId="0" fontId="22" fillId="3" borderId="3" xfId="0" applyFont="1" applyFill="1" applyBorder="1" applyAlignment="1">
      <alignment vertical="top"/>
    </xf>
    <xf numFmtId="0" fontId="0" fillId="3" borderId="44" xfId="0" applyFill="1" applyBorder="1" applyAlignment="1">
      <alignment vertical="top" wrapText="1"/>
    </xf>
    <xf numFmtId="0" fontId="0" fillId="3" borderId="44" xfId="0" applyFill="1" applyBorder="1" applyAlignment="1">
      <alignment vertical="top"/>
    </xf>
    <xf numFmtId="0" fontId="10" fillId="3" borderId="3" xfId="0" applyFont="1" applyFill="1" applyBorder="1" applyAlignment="1">
      <alignment vertical="top"/>
    </xf>
    <xf numFmtId="0" fontId="23" fillId="3" borderId="3" xfId="0" applyFont="1" applyFill="1" applyBorder="1" applyAlignment="1">
      <alignment vertical="top"/>
    </xf>
    <xf numFmtId="0" fontId="3" fillId="3" borderId="1" xfId="0" applyFont="1" applyFill="1" applyBorder="1" applyAlignment="1">
      <alignment vertical="center" wrapText="1"/>
    </xf>
    <xf numFmtId="0" fontId="0" fillId="3" borderId="72" xfId="0" applyFill="1" applyBorder="1" applyAlignment="1">
      <alignment vertical="center"/>
    </xf>
    <xf numFmtId="0" fontId="0" fillId="3" borderId="73" xfId="0" applyFill="1" applyBorder="1" applyAlignment="1">
      <alignment vertical="center"/>
    </xf>
    <xf numFmtId="0" fontId="0" fillId="5" borderId="74" xfId="0" applyFill="1" applyBorder="1" applyAlignment="1">
      <alignment horizontal="center" vertical="center"/>
    </xf>
    <xf numFmtId="0" fontId="0" fillId="4" borderId="74" xfId="0" applyFill="1" applyBorder="1" applyAlignment="1">
      <alignment horizontal="center" vertical="center"/>
    </xf>
    <xf numFmtId="0" fontId="3" fillId="3" borderId="75" xfId="0" applyFont="1" applyFill="1" applyBorder="1" applyAlignment="1">
      <alignment vertical="center"/>
    </xf>
    <xf numFmtId="0" fontId="3" fillId="3" borderId="76" xfId="0" applyFont="1" applyFill="1" applyBorder="1" applyAlignment="1">
      <alignment vertical="center"/>
    </xf>
    <xf numFmtId="0" fontId="0" fillId="0" borderId="0" xfId="0" applyAlignment="1">
      <alignment horizontal="left" wrapText="1"/>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15" fillId="0" borderId="16" xfId="0" applyFont="1" applyBorder="1" applyAlignment="1">
      <alignment horizontal="center" vertical="center" wrapText="1"/>
    </xf>
    <xf numFmtId="0" fontId="25" fillId="14" borderId="24" xfId="0" applyFont="1" applyFill="1" applyBorder="1" applyAlignment="1">
      <alignment horizontal="center" vertical="center" textRotation="90" wrapText="1"/>
    </xf>
    <xf numFmtId="0" fontId="25" fillId="14" borderId="25" xfId="0" applyFont="1" applyFill="1" applyBorder="1" applyAlignment="1">
      <alignment horizontal="center" vertical="center" textRotation="90" wrapText="1"/>
    </xf>
    <xf numFmtId="0" fontId="25" fillId="14" borderId="26" xfId="0" applyFont="1" applyFill="1" applyBorder="1" applyAlignment="1">
      <alignment horizontal="center" vertical="center" textRotation="90" wrapText="1"/>
    </xf>
    <xf numFmtId="0" fontId="15" fillId="11" borderId="24" xfId="0" applyFont="1" applyFill="1" applyBorder="1" applyAlignment="1">
      <alignment horizontal="center" vertical="center" textRotation="90" wrapText="1"/>
    </xf>
    <xf numFmtId="0" fontId="15" fillId="11" borderId="25" xfId="0" applyFont="1" applyFill="1" applyBorder="1" applyAlignment="1">
      <alignment horizontal="center" vertical="center" textRotation="90" wrapText="1"/>
    </xf>
    <xf numFmtId="0" fontId="15" fillId="11" borderId="26" xfId="0" applyFont="1" applyFill="1" applyBorder="1" applyAlignment="1">
      <alignment horizontal="center" vertical="center" textRotation="90" wrapText="1"/>
    </xf>
    <xf numFmtId="0" fontId="15" fillId="0" borderId="27" xfId="0" applyFont="1" applyBorder="1" applyAlignment="1">
      <alignment horizontal="center" vertical="center" textRotation="90" wrapText="1"/>
    </xf>
    <xf numFmtId="0" fontId="15" fillId="0" borderId="28" xfId="0" applyFont="1" applyBorder="1" applyAlignment="1">
      <alignment horizontal="center" vertical="center" textRotation="90" wrapText="1"/>
    </xf>
    <xf numFmtId="0" fontId="15" fillId="11" borderId="27" xfId="0" applyFont="1" applyFill="1" applyBorder="1" applyAlignment="1">
      <alignment horizontal="center" vertical="center" textRotation="90" wrapText="1"/>
    </xf>
    <xf numFmtId="0" fontId="15" fillId="11" borderId="28" xfId="0" applyFont="1" applyFill="1" applyBorder="1" applyAlignment="1">
      <alignment horizontal="center" vertical="center" textRotation="90" wrapText="1"/>
    </xf>
    <xf numFmtId="0" fontId="15" fillId="11" borderId="29" xfId="0" applyFont="1" applyFill="1" applyBorder="1" applyAlignment="1">
      <alignment horizontal="center" vertical="center" textRotation="90" wrapText="1"/>
    </xf>
    <xf numFmtId="0" fontId="0" fillId="0" borderId="68" xfId="0" applyBorder="1" applyAlignment="1">
      <alignment horizontal="center" vertical="center" textRotation="90"/>
    </xf>
    <xf numFmtId="0" fontId="0" fillId="0" borderId="55" xfId="0" applyBorder="1" applyAlignment="1">
      <alignment horizontal="center" vertical="center" textRotation="90"/>
    </xf>
    <xf numFmtId="0" fontId="0" fillId="0" borderId="67" xfId="0" applyBorder="1" applyAlignment="1">
      <alignment horizontal="center" vertical="center" textRotation="90"/>
    </xf>
    <xf numFmtId="0" fontId="0" fillId="0" borderId="70" xfId="0" applyBorder="1" applyAlignment="1">
      <alignment horizontal="center" vertical="center" textRotation="90"/>
    </xf>
    <xf numFmtId="0" fontId="0" fillId="0" borderId="69" xfId="0" applyBorder="1" applyAlignment="1">
      <alignment horizontal="center" vertical="center" textRotation="90"/>
    </xf>
    <xf numFmtId="0" fontId="0" fillId="5" borderId="77" xfId="0" applyFill="1" applyBorder="1" applyAlignment="1">
      <alignment horizontal="center" vertical="center"/>
    </xf>
    <xf numFmtId="0" fontId="6" fillId="3" borderId="0" xfId="1" applyFont="1" applyFill="1" applyBorder="1" applyAlignment="1">
      <alignment horizontal="left" vertical="center" indent="2"/>
    </xf>
    <xf numFmtId="0" fontId="0" fillId="18" borderId="61" xfId="0" applyFill="1" applyBorder="1" applyAlignment="1">
      <alignment horizontal="center" vertical="center"/>
    </xf>
    <xf numFmtId="0" fontId="0" fillId="5" borderId="61" xfId="0" applyFill="1" applyBorder="1" applyAlignment="1">
      <alignment horizontal="center" vertical="center"/>
    </xf>
    <xf numFmtId="0" fontId="0" fillId="18" borderId="47" xfId="0" applyFill="1" applyBorder="1" applyAlignment="1">
      <alignment horizontal="center" vertical="center"/>
    </xf>
  </cellXfs>
  <cellStyles count="2">
    <cellStyle name="Hyperlink" xfId="1" builtinId="8"/>
    <cellStyle name="Normal" xfId="0" builtinId="0"/>
  </cellStyles>
  <dxfs count="1091">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Identity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BDB2-4243-B9CF-A1A55C1A51FC}"/>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BDB2-4243-B9CF-A1A55C1A51F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BDB2-4243-B9CF-A1A55C1A51F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BDB2-4243-B9CF-A1A55C1A51FC}"/>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BDB2-4243-B9CF-A1A55C1A51FC}"/>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BDB2-4243-B9CF-A1A55C1A5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Summary'!$C$83:$C$88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Summary'!$D$83:$D$88</c:f>
              <c:numCache>
                <c:formatCode>General</c:formatCode>
                <c:ptCount val="6"/>
                <c:pt idx="0">
                  <c:v>0</c:v>
                </c:pt>
                <c:pt idx="1">
                  <c:v>0</c:v>
                </c:pt>
                <c:pt idx="2">
                  <c:v>0</c:v>
                </c:pt>
                <c:pt idx="3">
                  <c:v>0</c:v>
                </c:pt>
                <c:pt idx="4">
                  <c:v>0</c:v>
                </c:pt>
                <c:pt idx="5">
                  <c:v>55</c:v>
                </c:pt>
              </c:numCache>
            </c:numRef>
          </c:val>
          <c:extLst>
            <c:ext xmlns:c16="http://schemas.microsoft.com/office/drawing/2014/chart" uri="{C3380CC4-5D6E-409C-BE32-E72D297353CC}">
              <c16:uniqueId val="{00000000-BDB2-4243-B9CF-A1A55C1A51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Endpoints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D1B-4D52-A634-02485F4E1BAC}"/>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CD1B-4D52-A634-02485F4E1BA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CD1B-4D52-A634-02485F4E1BA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CD1B-4D52-A634-02485F4E1BAC}"/>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6-CD1B-4D52-A634-02485F4E1BAC}"/>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CD1B-4D52-A634-02485F4E1B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Summary'!$J$83:$J$88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Summary'!$K$83:$K$88</c:f>
              <c:numCache>
                <c:formatCode>General</c:formatCode>
                <c:ptCount val="6"/>
                <c:pt idx="0">
                  <c:v>0</c:v>
                </c:pt>
                <c:pt idx="1">
                  <c:v>0</c:v>
                </c:pt>
                <c:pt idx="2">
                  <c:v>0</c:v>
                </c:pt>
                <c:pt idx="3">
                  <c:v>0</c:v>
                </c:pt>
                <c:pt idx="4">
                  <c:v>0</c:v>
                </c:pt>
                <c:pt idx="5">
                  <c:v>41</c:v>
                </c:pt>
              </c:numCache>
            </c:numRef>
          </c:val>
          <c:extLst>
            <c:ext xmlns:c16="http://schemas.microsoft.com/office/drawing/2014/chart" uri="{C3380CC4-5D6E-409C-BE32-E72D297353CC}">
              <c16:uniqueId val="{00000000-CD1B-4D52-A634-02485F4E1BA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Threat</a:t>
            </a:r>
            <a:r>
              <a:rPr lang="en-GB" baseline="0"/>
              <a:t> protection</a:t>
            </a:r>
            <a:r>
              <a:rPr lang="en-GB"/>
              <a:t> technical state</a:t>
            </a:r>
          </a:p>
        </c:rich>
      </c:tx>
      <c:layout>
        <c:manualLayout>
          <c:xMode val="edge"/>
          <c:yMode val="edge"/>
          <c:x val="0.1958902423709025"/>
          <c:y val="2.3800037705256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A5FC-48ED-9079-ED2315654271}"/>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A5FC-48ED-9079-ED231565427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A5FC-48ED-9079-ED2315654271}"/>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A5FC-48ED-9079-ED23156542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A5FC-48ED-9079-ED2315654271}"/>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A5FC-48ED-9079-ED23156542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Summary'!$Q$83:$Q$88</c:f>
              <c:strCache>
                <c:ptCount val="6"/>
                <c:pt idx="0">
                  <c:v>Deployed</c:v>
                </c:pt>
                <c:pt idx="1">
                  <c:v>Work in Progress</c:v>
                </c:pt>
                <c:pt idx="2">
                  <c:v>High Priority</c:v>
                </c:pt>
                <c:pt idx="3">
                  <c:v>Medium Priority</c:v>
                </c:pt>
                <c:pt idx="4">
                  <c:v>Low Priority</c:v>
                </c:pt>
                <c:pt idx="5">
                  <c:v>No intent</c:v>
                </c:pt>
              </c:strCache>
            </c:strRef>
          </c:cat>
          <c:val>
            <c:numRef>
              <c:f>'Exec Summary'!$R$83:$R$88</c:f>
              <c:numCache>
                <c:formatCode>General</c:formatCode>
                <c:ptCount val="6"/>
                <c:pt idx="0">
                  <c:v>0</c:v>
                </c:pt>
                <c:pt idx="1">
                  <c:v>0</c:v>
                </c:pt>
                <c:pt idx="2">
                  <c:v>0</c:v>
                </c:pt>
                <c:pt idx="3">
                  <c:v>0</c:v>
                </c:pt>
                <c:pt idx="4">
                  <c:v>0</c:v>
                </c:pt>
                <c:pt idx="5">
                  <c:v>48</c:v>
                </c:pt>
              </c:numCache>
            </c:numRef>
          </c:val>
          <c:extLst>
            <c:ext xmlns:c16="http://schemas.microsoft.com/office/drawing/2014/chart" uri="{C3380CC4-5D6E-409C-BE32-E72D297353CC}">
              <c16:uniqueId val="{00000000-A5FC-48ED-9079-ED231565427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Compliance</a:t>
            </a:r>
            <a:r>
              <a:rPr lang="en-GB" baseline="0"/>
              <a:t>/Governance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DFFE-4F6B-B60F-F5B2C31A78A7}"/>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DFFE-4F6B-B60F-F5B2C31A78A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DFFE-4F6B-B60F-F5B2C31A78A7}"/>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DFFE-4F6B-B60F-F5B2C31A78A7}"/>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DFFE-4F6B-B60F-F5B2C31A78A7}"/>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DFFE-4F6B-B60F-F5B2C31A78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Summary'!$X$83:$X$88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Summary'!$Y$83:$Y$88</c:f>
              <c:numCache>
                <c:formatCode>General</c:formatCode>
                <c:ptCount val="6"/>
                <c:pt idx="0">
                  <c:v>0</c:v>
                </c:pt>
                <c:pt idx="1">
                  <c:v>0</c:v>
                </c:pt>
                <c:pt idx="2">
                  <c:v>0</c:v>
                </c:pt>
                <c:pt idx="3">
                  <c:v>0</c:v>
                </c:pt>
                <c:pt idx="4">
                  <c:v>0</c:v>
                </c:pt>
                <c:pt idx="5">
                  <c:v>51</c:v>
                </c:pt>
              </c:numCache>
            </c:numRef>
          </c:val>
          <c:extLst>
            <c:ext xmlns:c16="http://schemas.microsoft.com/office/drawing/2014/chart" uri="{C3380CC4-5D6E-409C-BE32-E72D297353CC}">
              <c16:uniqueId val="{00000000-DFFE-4F6B-B60F-F5B2C31A78A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Overall Value from All Technologies and Actions</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4808-4C3E-92B9-991F9A709E3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4808-4C3E-92B9-991F9A709E3C}"/>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808-4C3E-92B9-991F9A709E3C}"/>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Summary'!$C$12:$C$14</c:f>
              <c:strCache>
                <c:ptCount val="3"/>
                <c:pt idx="0">
                  <c:v>Realising Value</c:v>
                </c:pt>
                <c:pt idx="1">
                  <c:v>Desired Technologies</c:v>
                </c:pt>
                <c:pt idx="2">
                  <c:v>No Intent or not yet assessed</c:v>
                </c:pt>
              </c:strCache>
            </c:strRef>
          </c:cat>
          <c:val>
            <c:numRef>
              <c:f>'Exec Summary'!$D$12:$D$14</c:f>
              <c:numCache>
                <c:formatCode>General</c:formatCode>
                <c:ptCount val="3"/>
                <c:pt idx="0">
                  <c:v>0</c:v>
                </c:pt>
                <c:pt idx="1">
                  <c:v>0</c:v>
                </c:pt>
                <c:pt idx="2">
                  <c:v>151</c:v>
                </c:pt>
              </c:numCache>
            </c:numRef>
          </c:val>
          <c:extLst>
            <c:ext xmlns:c16="http://schemas.microsoft.com/office/drawing/2014/chart" uri="{C3380CC4-5D6E-409C-BE32-E72D297353CC}">
              <c16:uniqueId val="{00000000-4808-4C3E-92B9-991F9A709E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View of E3 Technologies only</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6995-4893-BB57-A814884243F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6995-4893-BB57-A814884243F8}"/>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995-4893-BB57-A814884243F8}"/>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Summary'!$J$12:$J$14</c:f>
              <c:strCache>
                <c:ptCount val="3"/>
                <c:pt idx="0">
                  <c:v>Realising value from E3</c:v>
                </c:pt>
                <c:pt idx="1">
                  <c:v>Desired E3 Technologies</c:v>
                </c:pt>
                <c:pt idx="2">
                  <c:v>Not assessed or superceed by E5</c:v>
                </c:pt>
              </c:strCache>
            </c:strRef>
          </c:cat>
          <c:val>
            <c:numRef>
              <c:f>'Exec Summary'!$K$12:$K$14</c:f>
              <c:numCache>
                <c:formatCode>General</c:formatCode>
                <c:ptCount val="3"/>
                <c:pt idx="0">
                  <c:v>0</c:v>
                </c:pt>
                <c:pt idx="1">
                  <c:v>0</c:v>
                </c:pt>
                <c:pt idx="2">
                  <c:v>58</c:v>
                </c:pt>
              </c:numCache>
            </c:numRef>
          </c:val>
          <c:extLst>
            <c:ext xmlns:c16="http://schemas.microsoft.com/office/drawing/2014/chart" uri="{C3380CC4-5D6E-409C-BE32-E72D297353CC}">
              <c16:uniqueId val="{00000000-6995-4893-BB57-A814884243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E5 Technologies Only (not including E3)</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C3BB-4268-92A1-47C55C7F7B9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3BB-4268-92A1-47C55C7F7B9E}"/>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3BB-4268-92A1-47C55C7F7B9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Summary'!$R$12:$R$14</c:f>
              <c:strCache>
                <c:ptCount val="3"/>
                <c:pt idx="0">
                  <c:v>Realised Value from E5</c:v>
                </c:pt>
                <c:pt idx="1">
                  <c:v>Desired E5 Tech</c:v>
                </c:pt>
                <c:pt idx="2">
                  <c:v>Not yet assessed or no intent to deploy</c:v>
                </c:pt>
              </c:strCache>
            </c:strRef>
          </c:cat>
          <c:val>
            <c:numRef>
              <c:f>'Exec Summary'!$S$12:$S$14</c:f>
              <c:numCache>
                <c:formatCode>General</c:formatCode>
                <c:ptCount val="3"/>
                <c:pt idx="0">
                  <c:v>0</c:v>
                </c:pt>
                <c:pt idx="1">
                  <c:v>0</c:v>
                </c:pt>
                <c:pt idx="2">
                  <c:v>37</c:v>
                </c:pt>
              </c:numCache>
            </c:numRef>
          </c:val>
          <c:extLst>
            <c:ext xmlns:c16="http://schemas.microsoft.com/office/drawing/2014/chart" uri="{C3380CC4-5D6E-409C-BE32-E72D297353CC}">
              <c16:uniqueId val="{00000000-C3BB-4268-92A1-47C55C7F7B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View of Azure Technologies only</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360D-411C-924D-EDA3CCF73E55}"/>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1-360D-411C-924D-EDA3CCF73E55}"/>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60D-411C-924D-EDA3CCF73E55}"/>
              </c:ext>
            </c:extLst>
          </c:dPt>
          <c:cat>
            <c:strRef>
              <c:f>'Exec Summary'!$X$12:$X$14</c:f>
              <c:strCache>
                <c:ptCount val="3"/>
                <c:pt idx="0">
                  <c:v>Realising value from Azure Security</c:v>
                </c:pt>
                <c:pt idx="1">
                  <c:v>Desired Azure Security Technologies</c:v>
                </c:pt>
                <c:pt idx="2">
                  <c:v>No intent or not yet assessed</c:v>
                </c:pt>
              </c:strCache>
            </c:strRef>
          </c:cat>
          <c:val>
            <c:numRef>
              <c:f>'Exec Summary'!$Y$12:$Y$14</c:f>
              <c:numCache>
                <c:formatCode>General</c:formatCode>
                <c:ptCount val="3"/>
                <c:pt idx="0">
                  <c:v>0</c:v>
                </c:pt>
                <c:pt idx="1">
                  <c:v>0</c:v>
                </c:pt>
                <c:pt idx="2">
                  <c:v>31</c:v>
                </c:pt>
              </c:numCache>
            </c:numRef>
          </c:val>
          <c:extLst>
            <c:ext xmlns:c16="http://schemas.microsoft.com/office/drawing/2014/chart" uri="{C3380CC4-5D6E-409C-BE32-E72D297353CC}">
              <c16:uniqueId val="{00000000-360D-411C-924D-EDA3CCF73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Defined Deployment</a:t>
            </a:r>
            <a:r>
              <a:rPr lang="en-GB" baseline="0"/>
              <a:t>  Resources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426-4BC9-856F-327B417B796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4426-4BC9-856F-327B417B7967}"/>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4426-4BC9-856F-327B417B7967}"/>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4CF6-4E03-8944-A91616E4782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DFC-477C-B351-49C8F325777A}"/>
              </c:ext>
            </c:extLst>
          </c:dPt>
          <c:dPt>
            <c:idx val="5"/>
            <c:bubble3D val="0"/>
            <c:spPr>
              <a:solidFill>
                <a:schemeClr val="accent4"/>
              </a:solidFill>
              <a:ln w="19050">
                <a:solidFill>
                  <a:schemeClr val="lt1"/>
                </a:solidFill>
              </a:ln>
              <a:effectLst/>
            </c:spPr>
            <c:extLst>
              <c:ext xmlns:c16="http://schemas.microsoft.com/office/drawing/2014/chart" uri="{C3380CC4-5D6E-409C-BE32-E72D297353CC}">
                <c16:uniqueId val="{00000008-0DFC-477C-B351-49C8F325777A}"/>
              </c:ext>
            </c:extLst>
          </c:dPt>
          <c:dLbls>
            <c:dLbl>
              <c:idx val="0"/>
              <c:tx>
                <c:rich>
                  <a:bodyPr/>
                  <a:lstStyle/>
                  <a:p>
                    <a:fld id="{19955DE9-B606-4540-B382-5CE4D15FAD2A}" type="CELLRANGE">
                      <a:rPr lang="en-US" baseline="0"/>
                      <a:pPr/>
                      <a:t>[CELLRANGE]</a:t>
                    </a:fld>
                    <a:r>
                      <a:rPr lang="en-US" baseline="0"/>
                      <a:t>, </a:t>
                    </a:r>
                    <a:fld id="{0A776D09-44D3-4222-A017-0D28DE67E5C4}"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426-4BC9-856F-327B417B7967}"/>
                </c:ext>
              </c:extLst>
            </c:dLbl>
            <c:dLbl>
              <c:idx val="1"/>
              <c:tx>
                <c:rich>
                  <a:bodyPr/>
                  <a:lstStyle/>
                  <a:p>
                    <a:fld id="{6A852E7A-F126-45F2-83DC-AA35FF236F09}" type="CELLRANGE">
                      <a:rPr lang="en-US"/>
                      <a:pPr/>
                      <a:t>[CELLRANGE]</a:t>
                    </a:fld>
                    <a:r>
                      <a:rPr lang="en-US" baseline="0"/>
                      <a:t>, </a:t>
                    </a:r>
                    <a:fld id="{B216DB53-3491-49C5-82C6-CF9ACE36F72B}"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26-4BC9-856F-327B417B7967}"/>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7CF4F6B-0AF9-453E-A8B2-0A3B1978EB1C}" type="CELLRANGE">
                      <a:rPr lang="en-US"/>
                      <a:pPr>
                        <a:defRPr>
                          <a:solidFill>
                            <a:schemeClr val="bg1"/>
                          </a:solidFill>
                        </a:defRPr>
                      </a:pPr>
                      <a:t>[CELLRANGE]</a:t>
                    </a:fld>
                    <a:r>
                      <a:rPr lang="en-US" baseline="0"/>
                      <a:t>, </a:t>
                    </a:r>
                    <a:fld id="{FA61E76F-C759-445D-AE3C-6DA57377E4A2}"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26-4BC9-856F-327B417B7967}"/>
                </c:ext>
              </c:extLst>
            </c:dLbl>
            <c:dLbl>
              <c:idx val="3"/>
              <c:tx>
                <c:rich>
                  <a:bodyPr/>
                  <a:lstStyle/>
                  <a:p>
                    <a:fld id="{BBC26D45-1D26-4012-AEA6-817B56FD9DBD}" type="CELLRANGE">
                      <a:rPr lang="en-US"/>
                      <a:pPr/>
                      <a:t>[CELLRANGE]</a:t>
                    </a:fld>
                    <a:r>
                      <a:rPr lang="en-US" baseline="0"/>
                      <a:t>, </a:t>
                    </a:r>
                    <a:fld id="{24D556D7-A4ED-41D5-894F-400EB523D26A}"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F6-4E03-8944-A91616E47829}"/>
                </c:ext>
              </c:extLst>
            </c:dLbl>
            <c:dLbl>
              <c:idx val="4"/>
              <c:tx>
                <c:rich>
                  <a:bodyPr/>
                  <a:lstStyle/>
                  <a:p>
                    <a:fld id="{8A153C46-43EA-444C-9833-FEF812CD5EF0}" type="CELLRANGE">
                      <a:rPr lang="en-US"/>
                      <a:pPr/>
                      <a:t>[CELLRANGE]</a:t>
                    </a:fld>
                    <a:r>
                      <a:rPr lang="en-US" baseline="0"/>
                      <a:t>, </a:t>
                    </a:r>
                    <a:fld id="{70AA9057-BE1C-4E2D-8292-E23789A55A32}"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DFC-477C-B351-49C8F325777A}"/>
                </c:ext>
              </c:extLst>
            </c:dLbl>
            <c:dLbl>
              <c:idx val="5"/>
              <c:tx>
                <c:rich>
                  <a:bodyPr/>
                  <a:lstStyle/>
                  <a:p>
                    <a:fld id="{9F33AB32-EF0B-4732-A6D3-F29EB2F6ABB5}" type="CELLRANGE">
                      <a:rPr lang="en-US"/>
                      <a:pPr/>
                      <a:t>[CELLRANGE]</a:t>
                    </a:fld>
                    <a:r>
                      <a:rPr lang="en-US" baseline="0"/>
                      <a:t>, </a:t>
                    </a:r>
                    <a:fld id="{35EEFA43-4234-42CD-984B-CF34A6DAACDE}"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DFC-477C-B351-49C8F32577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'Exec Summary'!$D$110:$D$115</c:f>
              <c:numCache>
                <c:formatCode>General</c:formatCode>
                <c:ptCount val="6"/>
                <c:pt idx="0">
                  <c:v>0</c:v>
                </c:pt>
                <c:pt idx="1">
                  <c:v>0</c:v>
                </c:pt>
                <c:pt idx="2">
                  <c:v>0</c:v>
                </c:pt>
                <c:pt idx="3">
                  <c:v>0</c:v>
                </c:pt>
                <c:pt idx="4">
                  <c:v>0</c:v>
                </c:pt>
                <c:pt idx="5">
                  <c:v>0</c:v>
                </c:pt>
              </c:numCache>
            </c:numRef>
          </c:val>
          <c:extLst>
            <c:ext xmlns:c15="http://schemas.microsoft.com/office/drawing/2012/chart" uri="{02D57815-91ED-43cb-92C2-25804820EDAC}">
              <c15:datalabelsRange>
                <c15:f>'Exec Summary'!$C$110:$C$115</c15:f>
                <c15:dlblRangeCache>
                  <c:ptCount val="6"/>
                  <c:pt idx="0">
                    <c:v>Self</c:v>
                  </c:pt>
                  <c:pt idx="1">
                    <c:v>FastTrack</c:v>
                  </c:pt>
                  <c:pt idx="2">
                    <c:v>Unified Engagements</c:v>
                  </c:pt>
                  <c:pt idx="3">
                    <c:v>CSA</c:v>
                  </c:pt>
                  <c:pt idx="4">
                    <c:v>ISD (MCS)</c:v>
                  </c:pt>
                  <c:pt idx="5">
                    <c:v>Partner</c:v>
                  </c:pt>
                </c15:dlblRangeCache>
              </c15:datalabelsRange>
            </c:ext>
            <c:ext xmlns:c16="http://schemas.microsoft.com/office/drawing/2014/chart" uri="{C3380CC4-5D6E-409C-BE32-E72D297353CC}">
              <c16:uniqueId val="{00000000-4426-4BC9-856F-327B417B796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Defender Suite: Core Products</a:t>
            </a:r>
          </a:p>
          <a:p>
            <a:pPr>
              <a:defRPr/>
            </a:pPr>
            <a:endParaRPr lang="en-GB"/>
          </a:p>
        </c:rich>
      </c:tx>
      <c:layout>
        <c:manualLayout>
          <c:xMode val="edge"/>
          <c:yMode val="edge"/>
          <c:x val="0.27329911025085868"/>
          <c:y val="2.323107271216005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chemeClr val="bg1">
                <a:lumMod val="8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D77-4DDB-A8D0-BA506CF9C26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BCC-4ACF-96ED-9C3075FC533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7BCC-4ACF-96ED-9C3075FC533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Summary'!$C$46:$C$48</c:f>
              <c:strCache>
                <c:ptCount val="3"/>
                <c:pt idx="0">
                  <c:v>Realised value</c:v>
                </c:pt>
                <c:pt idx="1">
                  <c:v>Desired Features</c:v>
                </c:pt>
                <c:pt idx="2">
                  <c:v>Not assessed or no value</c:v>
                </c:pt>
              </c:strCache>
            </c:strRef>
          </c:cat>
          <c:val>
            <c:numRef>
              <c:f>'Exec Summary'!$D$46:$D$48</c:f>
              <c:numCache>
                <c:formatCode>General</c:formatCode>
                <c:ptCount val="3"/>
                <c:pt idx="0">
                  <c:v>0</c:v>
                </c:pt>
                <c:pt idx="1">
                  <c:v>0</c:v>
                </c:pt>
                <c:pt idx="2">
                  <c:v>25</c:v>
                </c:pt>
              </c:numCache>
            </c:numRef>
          </c:val>
          <c:extLst>
            <c:ext xmlns:c16="http://schemas.microsoft.com/office/drawing/2014/chart" uri="{C3380CC4-5D6E-409C-BE32-E72D297353CC}">
              <c16:uniqueId val="{00000000-6D77-4DDB-A8D0-BA506CF9C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sz="1200"/>
              <a:t>M365 Defender Suite: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chemeClr val="bg1">
                <a:lumMod val="8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D77-4DDB-A8D0-BA506CF9C26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71C-42B4-8335-D4A49E4E9F69}"/>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A71C-42B4-8335-D4A49E4E9F69}"/>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Summary'!$K$46:$K$48</c:f>
              <c:strCache>
                <c:ptCount val="3"/>
                <c:pt idx="0">
                  <c:v>Realised value</c:v>
                </c:pt>
                <c:pt idx="1">
                  <c:v>Desired Features</c:v>
                </c:pt>
                <c:pt idx="2">
                  <c:v>Not assessed or no value</c:v>
                </c:pt>
              </c:strCache>
            </c:strRef>
          </c:cat>
          <c:val>
            <c:numRef>
              <c:f>'Exec Summary'!$L$46:$L$48</c:f>
              <c:numCache>
                <c:formatCode>General</c:formatCode>
                <c:ptCount val="3"/>
                <c:pt idx="0">
                  <c:v>0</c:v>
                </c:pt>
                <c:pt idx="1">
                  <c:v>0</c:v>
                </c:pt>
                <c:pt idx="2">
                  <c:v>21</c:v>
                </c:pt>
              </c:numCache>
            </c:numRef>
          </c:val>
          <c:extLst>
            <c:ext xmlns:c16="http://schemas.microsoft.com/office/drawing/2014/chart" uri="{C3380CC4-5D6E-409C-BE32-E72D297353CC}">
              <c16:uniqueId val="{00000000-6D77-4DDB-A8D0-BA506CF9C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r>
              <a:rPr lang="en-GB" sz="1200" b="0" i="0" u="none" strike="noStrike" kern="1200" spc="0" baseline="0">
                <a:solidFill>
                  <a:sysClr val="windowText" lastClr="000000"/>
                </a:solidFill>
                <a:latin typeface="+mn-lt"/>
                <a:ea typeface="+mn-ea"/>
                <a:cs typeface="+mn-cs"/>
              </a:rPr>
              <a:t>M365 Purview Suite: Core Products</a:t>
            </a:r>
          </a:p>
        </c:rich>
      </c:tx>
      <c:overlay val="0"/>
      <c:spPr>
        <a:noFill/>
        <a:ln>
          <a:noFill/>
        </a:ln>
        <a:effectLst/>
      </c:spPr>
      <c:txPr>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3-B65F-43AC-A60D-86F991D4A5F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B65F-43AC-A60D-86F991D4A5F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65F-43AC-A60D-86F991D4A5F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Summary'!$R$47:$R$49</c:f>
              <c:strCache>
                <c:ptCount val="3"/>
                <c:pt idx="0">
                  <c:v>Realised value</c:v>
                </c:pt>
                <c:pt idx="1">
                  <c:v>Desired Features</c:v>
                </c:pt>
                <c:pt idx="2">
                  <c:v>Not assessed or no value</c:v>
                </c:pt>
              </c:strCache>
            </c:strRef>
          </c:cat>
          <c:val>
            <c:numRef>
              <c:f>'Exec Summary'!$S$47:$S$49</c:f>
              <c:numCache>
                <c:formatCode>General</c:formatCode>
                <c:ptCount val="3"/>
                <c:pt idx="0">
                  <c:v>0</c:v>
                </c:pt>
                <c:pt idx="1">
                  <c:v>0</c:v>
                </c:pt>
                <c:pt idx="2">
                  <c:v>16</c:v>
                </c:pt>
              </c:numCache>
            </c:numRef>
          </c:val>
          <c:extLst>
            <c:ext xmlns:c16="http://schemas.microsoft.com/office/drawing/2014/chart" uri="{C3380CC4-5D6E-409C-BE32-E72D297353CC}">
              <c16:uniqueId val="{00000000-B65F-43AC-A60D-86F991D4A5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r>
              <a:rPr lang="en-GB" sz="1200" b="0" i="0" u="none" strike="noStrike" kern="1200" spc="0" baseline="0">
                <a:solidFill>
                  <a:sysClr val="windowText" lastClr="000000"/>
                </a:solidFill>
                <a:latin typeface="+mn-lt"/>
                <a:ea typeface="+mn-ea"/>
                <a:cs typeface="+mn-cs"/>
              </a:rPr>
              <a:t>M365 Purview Suite: Deeper Product Features</a:t>
            </a:r>
          </a:p>
        </c:rich>
      </c:tx>
      <c:overlay val="0"/>
      <c:spPr>
        <a:noFill/>
        <a:ln>
          <a:noFill/>
        </a:ln>
        <a:effectLst/>
      </c:spPr>
      <c:txPr>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4-E1D3-4760-B1C0-77B6EDDFFBA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1D3-4760-B1C0-77B6EDDFFBA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E1D3-4760-B1C0-77B6EDDFFB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Summary'!$X$48:$X$50</c:f>
              <c:strCache>
                <c:ptCount val="3"/>
                <c:pt idx="0">
                  <c:v>Realised value</c:v>
                </c:pt>
                <c:pt idx="1">
                  <c:v>Desired Features</c:v>
                </c:pt>
                <c:pt idx="2">
                  <c:v>Not assessed or no value</c:v>
                </c:pt>
              </c:strCache>
            </c:strRef>
          </c:cat>
          <c:val>
            <c:numRef>
              <c:f>'Exec Summary'!$Y$48:$Y$50</c:f>
              <c:numCache>
                <c:formatCode>General</c:formatCode>
                <c:ptCount val="3"/>
                <c:pt idx="0">
                  <c:v>0</c:v>
                </c:pt>
                <c:pt idx="1">
                  <c:v>0</c:v>
                </c:pt>
                <c:pt idx="2">
                  <c:v>11</c:v>
                </c:pt>
              </c:numCache>
            </c:numRef>
          </c:val>
          <c:extLst>
            <c:ext xmlns:c16="http://schemas.microsoft.com/office/drawing/2014/chart" uri="{C3380CC4-5D6E-409C-BE32-E72D297353CC}">
              <c16:uniqueId val="{00000000-E1D3-4760-B1C0-77B6EDDFFB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E5 Core Products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GB"/>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16B0-4E17-BC3E-7FD1C856A9E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6B0-4E17-BC3E-7FD1C856A9E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6B0-4E17-BC3E-7FD1C856A9EF}"/>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Summary'!$C$32:$C$34</c:f>
              <c:strCache>
                <c:ptCount val="3"/>
                <c:pt idx="0">
                  <c:v>Realised value</c:v>
                </c:pt>
                <c:pt idx="1">
                  <c:v>Desired Features</c:v>
                </c:pt>
                <c:pt idx="2">
                  <c:v>Not assessed or no value</c:v>
                </c:pt>
              </c:strCache>
            </c:strRef>
          </c:cat>
          <c:val>
            <c:numRef>
              <c:f>'Exec Summary'!$D$32:$D$34</c:f>
              <c:numCache>
                <c:formatCode>General</c:formatCode>
                <c:ptCount val="3"/>
                <c:pt idx="0">
                  <c:v>0</c:v>
                </c:pt>
                <c:pt idx="1">
                  <c:v>0</c:v>
                </c:pt>
                <c:pt idx="2">
                  <c:v>39</c:v>
                </c:pt>
              </c:numCache>
            </c:numRef>
          </c:val>
          <c:extLst>
            <c:ext xmlns:c16="http://schemas.microsoft.com/office/drawing/2014/chart" uri="{C3380CC4-5D6E-409C-BE32-E72D297353CC}">
              <c16:uniqueId val="{00000000-16B0-4E17-BC3E-7FD1C856A9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E5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GB"/>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122D-487B-8B1D-79844905E56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22D-487B-8B1D-79844905E566}"/>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22D-487B-8B1D-79844905E56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Summary'!$J$32:$J$34</c:f>
              <c:strCache>
                <c:ptCount val="3"/>
                <c:pt idx="0">
                  <c:v>Realised value</c:v>
                </c:pt>
                <c:pt idx="1">
                  <c:v>Desired Features</c:v>
                </c:pt>
                <c:pt idx="2">
                  <c:v>Not assessed or no value</c:v>
                </c:pt>
              </c:strCache>
            </c:strRef>
          </c:cat>
          <c:val>
            <c:numRef>
              <c:f>'Exec Summary'!$K$32:$K$34</c:f>
              <c:numCache>
                <c:formatCode>General</c:formatCode>
                <c:ptCount val="3"/>
                <c:pt idx="0">
                  <c:v>0</c:v>
                </c:pt>
                <c:pt idx="1">
                  <c:v>0</c:v>
                </c:pt>
                <c:pt idx="2">
                  <c:v>32</c:v>
                </c:pt>
              </c:numCache>
            </c:numRef>
          </c:val>
          <c:extLst>
            <c:ext xmlns:c16="http://schemas.microsoft.com/office/drawing/2014/chart" uri="{C3380CC4-5D6E-409C-BE32-E72D297353CC}">
              <c16:uniqueId val="{00000000-122D-487B-8B1D-79844905E5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M365 E3: Core Products</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rgbClr val="FFC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2-7A03-420C-9C4A-7850DEC104B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FAEC-46EE-BDE5-F0BB735443ED}"/>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A03-420C-9C4A-7850DEC104BD}"/>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Summary'!$D$65:$D$67</c:f>
              <c:strCache>
                <c:ptCount val="3"/>
                <c:pt idx="0">
                  <c:v>Realised value</c:v>
                </c:pt>
                <c:pt idx="1">
                  <c:v>Desired Features</c:v>
                </c:pt>
                <c:pt idx="2">
                  <c:v>Not assessed or no value</c:v>
                </c:pt>
              </c:strCache>
            </c:strRef>
          </c:cat>
          <c:val>
            <c:numRef>
              <c:f>'Exec Summary'!$E$65:$E$67</c:f>
              <c:numCache>
                <c:formatCode>General</c:formatCode>
                <c:ptCount val="3"/>
                <c:pt idx="0">
                  <c:v>0</c:v>
                </c:pt>
                <c:pt idx="1">
                  <c:v>0</c:v>
                </c:pt>
                <c:pt idx="2">
                  <c:v>17</c:v>
                </c:pt>
              </c:numCache>
            </c:numRef>
          </c:val>
          <c:extLst>
            <c:ext xmlns:c16="http://schemas.microsoft.com/office/drawing/2014/chart" uri="{C3380CC4-5D6E-409C-BE32-E72D297353CC}">
              <c16:uniqueId val="{00000000-7A03-420C-9C4A-7850DEC104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E3: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7D8A-4526-82CD-A03DE048C3E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1-7D8A-4526-82CD-A03DE048C3E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D8A-4526-82CD-A03DE048C3EF}"/>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Summary'!$K$65:$K$67</c:f>
              <c:strCache>
                <c:ptCount val="3"/>
                <c:pt idx="0">
                  <c:v>Realised value</c:v>
                </c:pt>
                <c:pt idx="1">
                  <c:v>Desired Features</c:v>
                </c:pt>
                <c:pt idx="2">
                  <c:v>Not assessed or no value</c:v>
                </c:pt>
              </c:strCache>
            </c:strRef>
          </c:cat>
          <c:val>
            <c:numRef>
              <c:f>'Exec Summary'!$L$65:$L$67</c:f>
              <c:numCache>
                <c:formatCode>General</c:formatCode>
                <c:ptCount val="3"/>
                <c:pt idx="0">
                  <c:v>0</c:v>
                </c:pt>
                <c:pt idx="1">
                  <c:v>0</c:v>
                </c:pt>
                <c:pt idx="2">
                  <c:v>41</c:v>
                </c:pt>
              </c:numCache>
            </c:numRef>
          </c:val>
          <c:extLst>
            <c:ext xmlns:c16="http://schemas.microsoft.com/office/drawing/2014/chart" uri="{C3380CC4-5D6E-409C-BE32-E72D297353CC}">
              <c16:uniqueId val="{00000000-7D8A-4526-82CD-A03DE048C3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M365 E3:</a:t>
            </a:r>
            <a:r>
              <a:rPr lang="en-GB" baseline="0"/>
              <a:t> Optional Configurations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148B-489D-9C82-5D63BF513D9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48B-489D-9C82-5D63BF513D9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148B-489D-9C82-5D63BF513D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Summary'!$S$65:$S$67</c:f>
              <c:strCache>
                <c:ptCount val="3"/>
                <c:pt idx="0">
                  <c:v>Realised value</c:v>
                </c:pt>
                <c:pt idx="1">
                  <c:v>Desired Features</c:v>
                </c:pt>
                <c:pt idx="2">
                  <c:v>Not assessed or no value</c:v>
                </c:pt>
              </c:strCache>
            </c:strRef>
          </c:cat>
          <c:val>
            <c:numRef>
              <c:f>'Exec Summary'!$T$65:$T$67</c:f>
              <c:numCache>
                <c:formatCode>General</c:formatCode>
                <c:ptCount val="3"/>
                <c:pt idx="0">
                  <c:v>0</c:v>
                </c:pt>
                <c:pt idx="1">
                  <c:v>0</c:v>
                </c:pt>
                <c:pt idx="2">
                  <c:v>39</c:v>
                </c:pt>
              </c:numCache>
            </c:numRef>
          </c:val>
          <c:extLst>
            <c:ext xmlns:c16="http://schemas.microsoft.com/office/drawing/2014/chart" uri="{C3380CC4-5D6E-409C-BE32-E72D297353CC}">
              <c16:uniqueId val="{00000000-7D8A-4526-82CD-A03DE048C3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242333</xdr:colOff>
      <xdr:row>80</xdr:row>
      <xdr:rowOff>37999</xdr:rowOff>
    </xdr:from>
    <xdr:to>
      <xdr:col>6</xdr:col>
      <xdr:colOff>649936</xdr:colOff>
      <xdr:row>95</xdr:row>
      <xdr:rowOff>21361</xdr:rowOff>
    </xdr:to>
    <xdr:graphicFrame macro="">
      <xdr:nvGraphicFramePr>
        <xdr:cNvPr id="6" name="Chart 5">
          <a:extLst>
            <a:ext uri="{FF2B5EF4-FFF2-40B4-BE49-F238E27FC236}">
              <a16:creationId xmlns:a16="http://schemas.microsoft.com/office/drawing/2014/main" id="{BC3F55A3-3707-9EC1-3EDD-44E306D96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80</xdr:row>
      <xdr:rowOff>25122</xdr:rowOff>
    </xdr:from>
    <xdr:to>
      <xdr:col>14</xdr:col>
      <xdr:colOff>11197</xdr:colOff>
      <xdr:row>95</xdr:row>
      <xdr:rowOff>4158</xdr:rowOff>
    </xdr:to>
    <xdr:graphicFrame macro="">
      <xdr:nvGraphicFramePr>
        <xdr:cNvPr id="7" name="Chart 6">
          <a:extLst>
            <a:ext uri="{FF2B5EF4-FFF2-40B4-BE49-F238E27FC236}">
              <a16:creationId xmlns:a16="http://schemas.microsoft.com/office/drawing/2014/main" id="{5433CAC0-2F5D-8161-CBC7-3DCCB7EF1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11721</xdr:colOff>
      <xdr:row>80</xdr:row>
      <xdr:rowOff>18627</xdr:rowOff>
    </xdr:from>
    <xdr:to>
      <xdr:col>21</xdr:col>
      <xdr:colOff>19572</xdr:colOff>
      <xdr:row>95</xdr:row>
      <xdr:rowOff>0</xdr:rowOff>
    </xdr:to>
    <xdr:graphicFrame macro="">
      <xdr:nvGraphicFramePr>
        <xdr:cNvPr id="8" name="Chart 7">
          <a:extLst>
            <a:ext uri="{FF2B5EF4-FFF2-40B4-BE49-F238E27FC236}">
              <a16:creationId xmlns:a16="http://schemas.microsoft.com/office/drawing/2014/main" id="{88B5390D-434F-0815-156F-206328629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11408</xdr:colOff>
      <xdr:row>80</xdr:row>
      <xdr:rowOff>19993</xdr:rowOff>
    </xdr:from>
    <xdr:to>
      <xdr:col>28</xdr:col>
      <xdr:colOff>7325</xdr:colOff>
      <xdr:row>94</xdr:row>
      <xdr:rowOff>178256</xdr:rowOff>
    </xdr:to>
    <xdr:graphicFrame macro="">
      <xdr:nvGraphicFramePr>
        <xdr:cNvPr id="9" name="Chart 8">
          <a:extLst>
            <a:ext uri="{FF2B5EF4-FFF2-40B4-BE49-F238E27FC236}">
              <a16:creationId xmlns:a16="http://schemas.microsoft.com/office/drawing/2014/main" id="{AEC00F23-ECEA-57E9-A2A7-28B0639F7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104589</xdr:colOff>
      <xdr:row>10</xdr:row>
      <xdr:rowOff>47000</xdr:rowOff>
    </xdr:from>
    <xdr:to>
      <xdr:col>7</xdr:col>
      <xdr:colOff>83360</xdr:colOff>
      <xdr:row>25</xdr:row>
      <xdr:rowOff>36431</xdr:rowOff>
    </xdr:to>
    <xdr:graphicFrame macro="">
      <xdr:nvGraphicFramePr>
        <xdr:cNvPr id="13" name="Chart 12">
          <a:extLst>
            <a:ext uri="{FF2B5EF4-FFF2-40B4-BE49-F238E27FC236}">
              <a16:creationId xmlns:a16="http://schemas.microsoft.com/office/drawing/2014/main" id="{917535B3-88F5-A01F-EAB6-B038A3B42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267328</xdr:colOff>
      <xdr:row>10</xdr:row>
      <xdr:rowOff>44277</xdr:rowOff>
    </xdr:from>
    <xdr:to>
      <xdr:col>13</xdr:col>
      <xdr:colOff>621952</xdr:colOff>
      <xdr:row>25</xdr:row>
      <xdr:rowOff>45636</xdr:rowOff>
    </xdr:to>
    <xdr:graphicFrame macro="">
      <xdr:nvGraphicFramePr>
        <xdr:cNvPr id="14" name="Chart 13">
          <a:extLst>
            <a:ext uri="{FF2B5EF4-FFF2-40B4-BE49-F238E27FC236}">
              <a16:creationId xmlns:a16="http://schemas.microsoft.com/office/drawing/2014/main" id="{B13102F5-C393-4D13-0EE8-6A7924601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31770</xdr:colOff>
      <xdr:row>10</xdr:row>
      <xdr:rowOff>57142</xdr:rowOff>
    </xdr:from>
    <xdr:to>
      <xdr:col>21</xdr:col>
      <xdr:colOff>52546</xdr:colOff>
      <xdr:row>25</xdr:row>
      <xdr:rowOff>46262</xdr:rowOff>
    </xdr:to>
    <xdr:graphicFrame macro="">
      <xdr:nvGraphicFramePr>
        <xdr:cNvPr id="15" name="Chart 14">
          <a:extLst>
            <a:ext uri="{FF2B5EF4-FFF2-40B4-BE49-F238E27FC236}">
              <a16:creationId xmlns:a16="http://schemas.microsoft.com/office/drawing/2014/main" id="{D460F053-1A1F-FBC3-9274-3D975A57C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285751</xdr:colOff>
      <xdr:row>10</xdr:row>
      <xdr:rowOff>74942</xdr:rowOff>
    </xdr:from>
    <xdr:to>
      <xdr:col>27</xdr:col>
      <xdr:colOff>652097</xdr:colOff>
      <xdr:row>25</xdr:row>
      <xdr:rowOff>54533</xdr:rowOff>
    </xdr:to>
    <xdr:graphicFrame macro="">
      <xdr:nvGraphicFramePr>
        <xdr:cNvPr id="16" name="Chart 15">
          <a:extLst>
            <a:ext uri="{FF2B5EF4-FFF2-40B4-BE49-F238E27FC236}">
              <a16:creationId xmlns:a16="http://schemas.microsoft.com/office/drawing/2014/main" id="{E1B69AA9-6D0C-99FA-AD7F-D51B68B50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22412</xdr:colOff>
      <xdr:row>105</xdr:row>
      <xdr:rowOff>161284</xdr:rowOff>
    </xdr:from>
    <xdr:to>
      <xdr:col>7</xdr:col>
      <xdr:colOff>30576</xdr:colOff>
      <xdr:row>120</xdr:row>
      <xdr:rowOff>158562</xdr:rowOff>
    </xdr:to>
    <xdr:graphicFrame macro="">
      <xdr:nvGraphicFramePr>
        <xdr:cNvPr id="2" name="Chart 1">
          <a:extLst>
            <a:ext uri="{FF2B5EF4-FFF2-40B4-BE49-F238E27FC236}">
              <a16:creationId xmlns:a16="http://schemas.microsoft.com/office/drawing/2014/main" id="{70CFFE2B-7526-82DA-BD3F-445166C98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89090</xdr:colOff>
      <xdr:row>44</xdr:row>
      <xdr:rowOff>30977</xdr:rowOff>
    </xdr:from>
    <xdr:to>
      <xdr:col>7</xdr:col>
      <xdr:colOff>105170</xdr:colOff>
      <xdr:row>59</xdr:row>
      <xdr:rowOff>64415</xdr:rowOff>
    </xdr:to>
    <xdr:graphicFrame macro="">
      <xdr:nvGraphicFramePr>
        <xdr:cNvPr id="3" name="Chart 2">
          <a:extLst>
            <a:ext uri="{FF2B5EF4-FFF2-40B4-BE49-F238E27FC236}">
              <a16:creationId xmlns:a16="http://schemas.microsoft.com/office/drawing/2014/main" id="{C873C55E-7290-5329-B848-369F25D27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254958</xdr:colOff>
      <xdr:row>44</xdr:row>
      <xdr:rowOff>40510</xdr:rowOff>
    </xdr:from>
    <xdr:to>
      <xdr:col>13</xdr:col>
      <xdr:colOff>615457</xdr:colOff>
      <xdr:row>59</xdr:row>
      <xdr:rowOff>62571</xdr:rowOff>
    </xdr:to>
    <xdr:graphicFrame macro="">
      <xdr:nvGraphicFramePr>
        <xdr:cNvPr id="10" name="Chart 9">
          <a:extLst>
            <a:ext uri="{FF2B5EF4-FFF2-40B4-BE49-F238E27FC236}">
              <a16:creationId xmlns:a16="http://schemas.microsoft.com/office/drawing/2014/main" id="{7FBFA99A-377D-5E6E-F726-D55D76B93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5034</xdr:colOff>
      <xdr:row>44</xdr:row>
      <xdr:rowOff>24703</xdr:rowOff>
    </xdr:from>
    <xdr:to>
      <xdr:col>21</xdr:col>
      <xdr:colOff>11993</xdr:colOff>
      <xdr:row>59</xdr:row>
      <xdr:rowOff>57255</xdr:rowOff>
    </xdr:to>
    <xdr:graphicFrame macro="">
      <xdr:nvGraphicFramePr>
        <xdr:cNvPr id="4" name="Chart 3">
          <a:extLst>
            <a:ext uri="{FF2B5EF4-FFF2-40B4-BE49-F238E27FC236}">
              <a16:creationId xmlns:a16="http://schemas.microsoft.com/office/drawing/2014/main" id="{CDE4AD24-4CC4-DFEF-FADE-F4B5A2193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256336</xdr:colOff>
      <xdr:row>44</xdr:row>
      <xdr:rowOff>42077</xdr:rowOff>
    </xdr:from>
    <xdr:to>
      <xdr:col>27</xdr:col>
      <xdr:colOff>584269</xdr:colOff>
      <xdr:row>59</xdr:row>
      <xdr:rowOff>55895</xdr:rowOff>
    </xdr:to>
    <xdr:graphicFrame macro="">
      <xdr:nvGraphicFramePr>
        <xdr:cNvPr id="11" name="Chart 10">
          <a:extLst>
            <a:ext uri="{FF2B5EF4-FFF2-40B4-BE49-F238E27FC236}">
              <a16:creationId xmlns:a16="http://schemas.microsoft.com/office/drawing/2014/main" id="{F8698031-97AC-4F19-F1ED-60664B6C5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103413</xdr:colOff>
      <xdr:row>27</xdr:row>
      <xdr:rowOff>17267</xdr:rowOff>
    </xdr:from>
    <xdr:to>
      <xdr:col>7</xdr:col>
      <xdr:colOff>91587</xdr:colOff>
      <xdr:row>42</xdr:row>
      <xdr:rowOff>91586</xdr:rowOff>
    </xdr:to>
    <xdr:graphicFrame macro="">
      <xdr:nvGraphicFramePr>
        <xdr:cNvPr id="12" name="Chart 11">
          <a:extLst>
            <a:ext uri="{FF2B5EF4-FFF2-40B4-BE49-F238E27FC236}">
              <a16:creationId xmlns:a16="http://schemas.microsoft.com/office/drawing/2014/main" id="{1C9A74FA-2738-3CEC-6BAB-5EC6C2392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257278</xdr:colOff>
      <xdr:row>27</xdr:row>
      <xdr:rowOff>17795</xdr:rowOff>
    </xdr:from>
    <xdr:to>
      <xdr:col>13</xdr:col>
      <xdr:colOff>637441</xdr:colOff>
      <xdr:row>42</xdr:row>
      <xdr:rowOff>81540</xdr:rowOff>
    </xdr:to>
    <xdr:graphicFrame macro="">
      <xdr:nvGraphicFramePr>
        <xdr:cNvPr id="17" name="Chart 16">
          <a:extLst>
            <a:ext uri="{FF2B5EF4-FFF2-40B4-BE49-F238E27FC236}">
              <a16:creationId xmlns:a16="http://schemas.microsoft.com/office/drawing/2014/main" id="{32FCEFE7-B63F-0AAB-4047-B036326D3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78189</xdr:colOff>
      <xdr:row>61</xdr:row>
      <xdr:rowOff>136388</xdr:rowOff>
    </xdr:from>
    <xdr:to>
      <xdr:col>7</xdr:col>
      <xdr:colOff>131885</xdr:colOff>
      <xdr:row>76</xdr:row>
      <xdr:rowOff>168520</xdr:rowOff>
    </xdr:to>
    <xdr:graphicFrame macro="">
      <xdr:nvGraphicFramePr>
        <xdr:cNvPr id="18" name="Chart 17">
          <a:extLst>
            <a:ext uri="{FF2B5EF4-FFF2-40B4-BE49-F238E27FC236}">
              <a16:creationId xmlns:a16="http://schemas.microsoft.com/office/drawing/2014/main" id="{F7236D56-18D5-1000-7672-19D7613EE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3663</xdr:colOff>
      <xdr:row>61</xdr:row>
      <xdr:rowOff>116183</xdr:rowOff>
    </xdr:from>
    <xdr:to>
      <xdr:col>13</xdr:col>
      <xdr:colOff>608135</xdr:colOff>
      <xdr:row>76</xdr:row>
      <xdr:rowOff>175846</xdr:rowOff>
    </xdr:to>
    <xdr:graphicFrame macro="">
      <xdr:nvGraphicFramePr>
        <xdr:cNvPr id="19" name="Chart 18">
          <a:extLst>
            <a:ext uri="{FF2B5EF4-FFF2-40B4-BE49-F238E27FC236}">
              <a16:creationId xmlns:a16="http://schemas.microsoft.com/office/drawing/2014/main" id="{D49981A9-3D1E-0D07-43B9-954433826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12246</xdr:colOff>
      <xdr:row>61</xdr:row>
      <xdr:rowOff>114822</xdr:rowOff>
    </xdr:from>
    <xdr:to>
      <xdr:col>21</xdr:col>
      <xdr:colOff>48567</xdr:colOff>
      <xdr:row>76</xdr:row>
      <xdr:rowOff>162552</xdr:rowOff>
    </xdr:to>
    <xdr:graphicFrame macro="">
      <xdr:nvGraphicFramePr>
        <xdr:cNvPr id="20" name="Chart 19">
          <a:extLst>
            <a:ext uri="{FF2B5EF4-FFF2-40B4-BE49-F238E27FC236}">
              <a16:creationId xmlns:a16="http://schemas.microsoft.com/office/drawing/2014/main" id="{9AF04B3D-C7CD-4FB4-780C-E9D20FE65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0E8510-06B3-41CD-AC8D-6CD0DA5FF05E}" name="Table13" displayName="Table13" ref="B1:F51" totalsRowShown="0">
  <autoFilter ref="B1:F51" xr:uid="{56963949-2149-4953-8F57-4E6408561E9D}"/>
  <tableColumns count="5">
    <tableColumn id="1" xr3:uid="{2DB61A25-8F55-48CD-9E88-8BD9D0234D18}" name="Tool"/>
    <tableColumn id="2" xr3:uid="{53BDB24B-EF0D-480C-A86A-FF0B6DD9A7AD}" name="Current State" dataDxfId="1090"/>
    <tableColumn id="3" xr3:uid="{FBB36726-2C73-4ADB-B0E9-F48FE4F17403}" name="MSFT Solutions Owned" dataDxfId="1089"/>
    <tableColumn id="4" xr3:uid="{CB8FF9F3-7FD9-4AD5-9A80-0B6A1F666D37}" name="Additional MSFT Solutions" dataDxfId="1088"/>
    <tableColumn id="5" xr3:uid="{B4C3185A-5D54-4F30-A652-57FE8E40537D}" name="Notes" dataDxfId="1087"/>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9">
    <wetp:webextensionref xmlns:r="http://schemas.openxmlformats.org/officeDocument/2006/relationships" r:id="rId1"/>
  </wetp:taskpane>
  <wetp:taskpane dockstate="right" visibility="0" width="70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8BCE77F-BC4D-491D-BE8E-2EF3ED5BC66B}">
  <we:reference id="wa104381701" version="1.0.0.4" store="en-US" storeType="OMEX"/>
  <we:alternateReferences>
    <we:reference id="WA104381701" version="1.0.0.4" store="WA104381701" storeType="OMEX"/>
  </we:alternateReferences>
  <we:properties/>
  <we:bindings>
    <we:binding id="currentSelection" type="table" appref="{FBA15EF9-9340-4CC2-AEA1-4B4E5D01BFDA}"/>
  </we:bindings>
  <we:snapshot xmlns:r="http://schemas.openxmlformats.org/officeDocument/2006/relationships"/>
</we:webextension>
</file>

<file path=xl/webextensions/webextension2.xml><?xml version="1.0" encoding="utf-8"?>
<we:webextension xmlns:we="http://schemas.microsoft.com/office/webextensions/webextension/2010/11" id="{D98692BA-B719-44D2-AA2F-6BF9D08E41DA}">
  <we:reference id="wa104380955" version="3.16.2.1" store="en-US" storeType="OMEX"/>
  <we:alternateReferences>
    <we:reference id="WA104380955" version="3.16.2.1" store="WA10438095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17" Type="http://schemas.openxmlformats.org/officeDocument/2006/relationships/hyperlink" Target="https://docs.microsoft.com/en-us/microsoft-365/security/office-365-security/permissions-in-the-security-and-compliance-center?view=o365-worldwide" TargetMode="External"/><Relationship Id="rId21" Type="http://schemas.openxmlformats.org/officeDocument/2006/relationships/hyperlink" Target="https://docs.microsoft.com/en-us/azure/active-directory/authentication/howto-mfa-nps-extension" TargetMode="External"/><Relationship Id="rId324" Type="http://schemas.openxmlformats.org/officeDocument/2006/relationships/hyperlink" Target="https://learn.microsoft.com/en-us/azure/active-directory/roles/permissions-reference" TargetMode="External"/><Relationship Id="rId531" Type="http://schemas.openxmlformats.org/officeDocument/2006/relationships/hyperlink" Target="https://purview.microsoft.com/" TargetMode="External"/><Relationship Id="rId170" Type="http://schemas.openxmlformats.org/officeDocument/2006/relationships/hyperlink" Target="https://portal.azure.com/" TargetMode="External"/><Relationship Id="rId268" Type="http://schemas.openxmlformats.org/officeDocument/2006/relationships/hyperlink" Target="https://techcommunity.microsoft.com/t5/microsoft-endpoint-manager-blog/remote-help-a-new-remote-assistance-tool-from-microsoft/ba-p/2822622" TargetMode="External"/><Relationship Id="rId475" Type="http://schemas.openxmlformats.org/officeDocument/2006/relationships/hyperlink" Target="https://learn.microsoft.com/en-us/entra/id-governance/tutorial-onboard-custom-workflow-portal" TargetMode="External"/><Relationship Id="rId32" Type="http://schemas.openxmlformats.org/officeDocument/2006/relationships/hyperlink" Target="https://docs.microsoft.com/en-us/azure/active-directory/roles/permissions-reference" TargetMode="External"/><Relationship Id="rId128" Type="http://schemas.openxmlformats.org/officeDocument/2006/relationships/hyperlink" Target="https://docs.microsoft.com/en-us/defender-cloud-apps/manage-admins" TargetMode="External"/><Relationship Id="rId335" Type="http://schemas.openxmlformats.org/officeDocument/2006/relationships/hyperlink" Target="https://learn.microsoft.com/en-us/microsoft-365/security/office-365-security/permissions-in-the-security-and-compliance-center?view=o365-worldwide" TargetMode="External"/><Relationship Id="rId542" Type="http://schemas.openxmlformats.org/officeDocument/2006/relationships/hyperlink" Target="https://learn.microsoft.com/copilot/microsoft-365/manage-generative-ai-apps" TargetMode="External"/><Relationship Id="rId181" Type="http://schemas.openxmlformats.org/officeDocument/2006/relationships/hyperlink" Target="https://portal.azure.com/" TargetMode="External"/><Relationship Id="rId402" Type="http://schemas.openxmlformats.org/officeDocument/2006/relationships/hyperlink" Target="https://learn.microsoft.com/en-GB/purview/insider-risk-management-adaptive-protection?view=o365-worldwide" TargetMode="External"/><Relationship Id="rId279" Type="http://schemas.openxmlformats.org/officeDocument/2006/relationships/hyperlink" Target="https://docs.microsoft.com/en-us/windows/security/identity-protection/hello-for-business/hello-overview" TargetMode="External"/><Relationship Id="rId486" Type="http://schemas.openxmlformats.org/officeDocument/2006/relationships/hyperlink" Target="https://securitycopilot.microsoft.com/" TargetMode="External"/><Relationship Id="rId43" Type="http://schemas.openxmlformats.org/officeDocument/2006/relationships/hyperlink" Target="https://docs.microsoft.com/en-us/microsoft-365/compliance/privileged-access-management-overview?view=o365-worldwide" TargetMode="External"/><Relationship Id="rId139" Type="http://schemas.openxmlformats.org/officeDocument/2006/relationships/hyperlink" Target="https://entra.microsoft.com/" TargetMode="External"/><Relationship Id="rId346" Type="http://schemas.openxmlformats.org/officeDocument/2006/relationships/hyperlink" Target="https://portal.azure.com/" TargetMode="External"/><Relationship Id="rId553" Type="http://schemas.openxmlformats.org/officeDocument/2006/relationships/hyperlink" Target="https://portal.azure.com/" TargetMode="External"/><Relationship Id="rId192" Type="http://schemas.openxmlformats.org/officeDocument/2006/relationships/hyperlink" Target="https://portal.azure.com/" TargetMode="External"/><Relationship Id="rId206" Type="http://schemas.openxmlformats.org/officeDocument/2006/relationships/hyperlink" Target="https://docs.microsoft.com/en-us/azure/bastion/tutorial-create-host-portal" TargetMode="External"/><Relationship Id="rId413" Type="http://schemas.openxmlformats.org/officeDocument/2006/relationships/hyperlink" Target="https://entra.microsoft.com/" TargetMode="External"/><Relationship Id="rId497" Type="http://schemas.openxmlformats.org/officeDocument/2006/relationships/hyperlink" Target="https://purview.microsoft.com/" TargetMode="External"/><Relationship Id="rId357" Type="http://schemas.openxmlformats.org/officeDocument/2006/relationships/hyperlink" Target="https://docs.microsoft.com/en-us/mem/intune/fundamentals/role-based-access-control" TargetMode="External"/><Relationship Id="rId54" Type="http://schemas.openxmlformats.org/officeDocument/2006/relationships/hyperlink" Target="https://docs.microsoft.com/en-us/azure/active-directory/conditional-access/concept-continuous-access-evaluation" TargetMode="External"/><Relationship Id="rId217" Type="http://schemas.openxmlformats.org/officeDocument/2006/relationships/hyperlink" Target="https://learn.microsoft.com/en-us/shows/azure-friday/cloud-security-posture-management-cspm-with-azure-security-center" TargetMode="External"/><Relationship Id="rId564" Type="http://schemas.openxmlformats.org/officeDocument/2006/relationships/hyperlink" Target="https://purview.microsoft.com/" TargetMode="External"/><Relationship Id="rId424" Type="http://schemas.openxmlformats.org/officeDocument/2006/relationships/hyperlink" Target="https://docs.microsoft.com/en-us/azure/active-directory/roles/permissions-reference" TargetMode="External"/><Relationship Id="rId270" Type="http://schemas.openxmlformats.org/officeDocument/2006/relationships/hyperlink" Target="https://docs.microsoft.com/en-us/microsoft-365/security/defender-endpoint/web-content-filtering?view=o365-worldwide" TargetMode="External"/><Relationship Id="rId65" Type="http://schemas.openxmlformats.org/officeDocument/2006/relationships/hyperlink" Target="https://docs.microsoft.com/en-us/mem/intune/fundamentals/role-based-access-control" TargetMode="External"/><Relationship Id="rId130" Type="http://schemas.openxmlformats.org/officeDocument/2006/relationships/hyperlink" Target="https://admin.microsoft.com/" TargetMode="External"/><Relationship Id="rId368" Type="http://schemas.openxmlformats.org/officeDocument/2006/relationships/hyperlink" Target="https://learn.microsoft.com/en-us/azure/active-directory/roles/permissions-reference" TargetMode="External"/><Relationship Id="rId172" Type="http://schemas.openxmlformats.org/officeDocument/2006/relationships/hyperlink" Target="https://portal.azure.com/" TargetMode="External"/><Relationship Id="rId228" Type="http://schemas.openxmlformats.org/officeDocument/2006/relationships/hyperlink" Target="https://docs.microsoft.com/en-us/microsoft-365/compliance/manage-office-365-message-encryption?view=o365-worldwide" TargetMode="External"/><Relationship Id="rId435" Type="http://schemas.openxmlformats.org/officeDocument/2006/relationships/hyperlink" Target="https://www.microsoft.com/en-us/security/business/endpoint-management/microsoft-cloud-pki" TargetMode="External"/><Relationship Id="rId477" Type="http://schemas.openxmlformats.org/officeDocument/2006/relationships/hyperlink" Target="https://learn.microsoft.com/en-us/azure/application-gateway/overview-v2" TargetMode="External"/><Relationship Id="rId281" Type="http://schemas.openxmlformats.org/officeDocument/2006/relationships/hyperlink" Target="https://docs.microsoft.com/en-us/windows/deployment/deploy" TargetMode="External"/><Relationship Id="rId337" Type="http://schemas.openxmlformats.org/officeDocument/2006/relationships/hyperlink" Target="https://learn.microsoft.com/en-us/azure/defender-for-cloud/quickstart-onboard-devops" TargetMode="External"/><Relationship Id="rId502" Type="http://schemas.openxmlformats.org/officeDocument/2006/relationships/hyperlink" Target="https://purview.microsoft.com/" TargetMode="External"/><Relationship Id="rId34" Type="http://schemas.openxmlformats.org/officeDocument/2006/relationships/hyperlink" Target="https://docs.microsoft.com/en-us/azure/active-directory/roles/permissions-reference" TargetMode="External"/><Relationship Id="rId76" Type="http://schemas.openxmlformats.org/officeDocument/2006/relationships/hyperlink" Target="https://docs.microsoft.com/en-us/mem/intune/fundamentals/role-based-access-control" TargetMode="External"/><Relationship Id="rId141" Type="http://schemas.openxmlformats.org/officeDocument/2006/relationships/hyperlink" Target="https://entra.microsoft.com/" TargetMode="External"/><Relationship Id="rId379" Type="http://schemas.openxmlformats.org/officeDocument/2006/relationships/hyperlink" Target="https://entra.microsoft.com/" TargetMode="External"/><Relationship Id="rId544" Type="http://schemas.openxmlformats.org/officeDocument/2006/relationships/hyperlink" Target="https://learn.microsoft.com/microsoft-copilot-studio/security-and-governance" TargetMode="External"/><Relationship Id="rId7" Type="http://schemas.openxmlformats.org/officeDocument/2006/relationships/hyperlink" Target="https://learn.microsoft.com/en-us/entra/identity/authentication/howto-password-ban-bad-on-premises-deploy" TargetMode="External"/><Relationship Id="rId183" Type="http://schemas.openxmlformats.org/officeDocument/2006/relationships/hyperlink" Target="https://security.microsoft.com/" TargetMode="External"/><Relationship Id="rId239" Type="http://schemas.openxmlformats.org/officeDocument/2006/relationships/hyperlink" Target="https://docs.microsoft.com/en-us/azure/sentinel/quickstart-onboard" TargetMode="External"/><Relationship Id="rId390" Type="http://schemas.openxmlformats.org/officeDocument/2006/relationships/hyperlink" Target="https://docs.microsoft.com/en-us/microsoft-365/compliance/compliance-manager-setup?view=o365-worldwide" TargetMode="External"/><Relationship Id="rId404" Type="http://schemas.openxmlformats.org/officeDocument/2006/relationships/hyperlink" Target="https://learn.microsoft.com/en-us/entra/identity/conditional-access/workload-identity" TargetMode="External"/><Relationship Id="rId446" Type="http://schemas.openxmlformats.org/officeDocument/2006/relationships/hyperlink" Target="https://intune.microsoft.com/" TargetMode="External"/><Relationship Id="rId250" Type="http://schemas.openxmlformats.org/officeDocument/2006/relationships/hyperlink" Target="https://docs.microsoft.com/en-us/microsoft-365/security/office-365-security/exchange-online-protection-overview?view=o365-worldwide" TargetMode="External"/><Relationship Id="rId292" Type="http://schemas.openxmlformats.org/officeDocument/2006/relationships/hyperlink" Target="https://docs.microsoft.com/en-us/mem/intune/configuration/device-profiles" TargetMode="External"/><Relationship Id="rId306" Type="http://schemas.openxmlformats.org/officeDocument/2006/relationships/hyperlink" Target="https://docs.microsoft.com/en-us/microsoft-365/compliance/data-classification-content-explorer?view=o365-worldwide" TargetMode="External"/><Relationship Id="rId488" Type="http://schemas.openxmlformats.org/officeDocument/2006/relationships/hyperlink" Target="https://security.microsoft.com/" TargetMode="External"/><Relationship Id="rId45" Type="http://schemas.openxmlformats.org/officeDocument/2006/relationships/hyperlink" Target="https://docs.microsoft.com/en-us/microsoft-365/security/defender/microsoft-secure-score?view=o365-worldwide" TargetMode="External"/><Relationship Id="rId87" Type="http://schemas.openxmlformats.org/officeDocument/2006/relationships/hyperlink" Target="https://docs.microsoft.com/en-us/azure/defender-for-cloud/enhanced-security-features-overview" TargetMode="External"/><Relationship Id="rId110" Type="http://schemas.openxmlformats.org/officeDocument/2006/relationships/hyperlink" Target="https://docs.microsoft.com/en-us/microsoft-365/compliance/classifier-get-started-with?view=o365-worldwide" TargetMode="External"/><Relationship Id="rId348" Type="http://schemas.openxmlformats.org/officeDocument/2006/relationships/hyperlink" Target="https://learn.microsoft.com/en-us/mem/intune/fundamentals/specialty-devices-with-intune" TargetMode="External"/><Relationship Id="rId513" Type="http://schemas.openxmlformats.org/officeDocument/2006/relationships/hyperlink" Target="https://purview.microsoft.com/" TargetMode="External"/><Relationship Id="rId555" Type="http://schemas.openxmlformats.org/officeDocument/2006/relationships/hyperlink" Target="https://learn.microsoft.com/en-us/microsoft-agent-365/admin/capabilities-entra" TargetMode="External"/><Relationship Id="rId152" Type="http://schemas.openxmlformats.org/officeDocument/2006/relationships/hyperlink" Target="https://entra.microsoft.com/" TargetMode="External"/><Relationship Id="rId194" Type="http://schemas.openxmlformats.org/officeDocument/2006/relationships/hyperlink" Target="https://learn.microsoft.com/en-us/entra/id-governance/privileged-identity-management/pim-create-roles-and-resource-roles-review?toc=%2Fazure%2Factive-directory%2Fworkload-identities%2Ftoc.json&amp;bc=%2Fazure%2Factive-directory%2Fworkload-identities%2Fbreadcrumb%2Ftoc.json" TargetMode="External"/><Relationship Id="rId208" Type="http://schemas.openxmlformats.org/officeDocument/2006/relationships/hyperlink" Target="https://docs.microsoft.com/en-gb/azure/web-application-firewall/ag/application-gateway-web-application-firewall-portal" TargetMode="External"/><Relationship Id="rId415" Type="http://schemas.openxmlformats.org/officeDocument/2006/relationships/hyperlink" Target="https://entra.microsoft.com/" TargetMode="External"/><Relationship Id="rId457" Type="http://schemas.openxmlformats.org/officeDocument/2006/relationships/hyperlink" Target="https://intune.microsoft.com/" TargetMode="External"/><Relationship Id="rId261" Type="http://schemas.openxmlformats.org/officeDocument/2006/relationships/hyperlink" Target="https://docs.microsoft.com/en-gb/azure/security-center/defender-for-servers-introduction" TargetMode="External"/><Relationship Id="rId499" Type="http://schemas.openxmlformats.org/officeDocument/2006/relationships/hyperlink" Target="https://purview.microsoft.com/" TargetMode="External"/><Relationship Id="rId14" Type="http://schemas.openxmlformats.org/officeDocument/2006/relationships/hyperlink" Target="https://docs.microsoft.com/en-us/azure/active-directory/conditional-access/howto-conditional-access-policy-block-legacy" TargetMode="External"/><Relationship Id="rId56" Type="http://schemas.openxmlformats.org/officeDocument/2006/relationships/hyperlink" Target="https://docs.microsoft.com/en-us/mem/intune/fundamentals/role-based-access-control" TargetMode="External"/><Relationship Id="rId317" Type="http://schemas.openxmlformats.org/officeDocument/2006/relationships/hyperlink" Target="https://learn.microsoft.com/en-us/azure/active-directory/external-identities/external-identities-pricing" TargetMode="External"/><Relationship Id="rId359" Type="http://schemas.openxmlformats.org/officeDocument/2006/relationships/hyperlink" Target="https://learn.microsoft.com/en-us/mem/intune/fundamentals/role-based-access-control" TargetMode="External"/><Relationship Id="rId524" Type="http://schemas.openxmlformats.org/officeDocument/2006/relationships/hyperlink" Target="https://purview.microsoft.com/" TargetMode="External"/><Relationship Id="rId566" Type="http://schemas.openxmlformats.org/officeDocument/2006/relationships/printerSettings" Target="../printerSettings/printerSettings3.bin"/><Relationship Id="rId98" Type="http://schemas.openxmlformats.org/officeDocument/2006/relationships/hyperlink" Target="https://docs.microsoft.com/en-us/exchange/permissions-exo/permissions-exo" TargetMode="External"/><Relationship Id="rId121" Type="http://schemas.openxmlformats.org/officeDocument/2006/relationships/hyperlink" Target="https://docs.microsoft.com/en-us/azure/defender-for-cloud/enhanced-security-features-overview" TargetMode="External"/><Relationship Id="rId163" Type="http://schemas.openxmlformats.org/officeDocument/2006/relationships/hyperlink" Target="https://security.microsoft.com/" TargetMode="External"/><Relationship Id="rId219" Type="http://schemas.openxmlformats.org/officeDocument/2006/relationships/hyperlink" Target="https://docs.microsoft.com/en-us/microsoft-365/compliance/turn-audit-log-search-on-or-off?view=o365-worldwide" TargetMode="External"/><Relationship Id="rId370" Type="http://schemas.openxmlformats.org/officeDocument/2006/relationships/hyperlink" Target="https://learn.microsoft.com/en-us/azure/active-directory/roles/permissions-reference" TargetMode="External"/><Relationship Id="rId426" Type="http://schemas.openxmlformats.org/officeDocument/2006/relationships/hyperlink" Target="https://docs.microsoft.com/en-us/azure/active-directory/roles/permissions-reference" TargetMode="External"/><Relationship Id="rId230" Type="http://schemas.openxmlformats.org/officeDocument/2006/relationships/hyperlink" Target="https://docs.microsoft.com/en-us/cloud-app-security/tutorial-shadow-it" TargetMode="External"/><Relationship Id="rId468" Type="http://schemas.openxmlformats.org/officeDocument/2006/relationships/hyperlink" Target="https://intune.microsoft.com/" TargetMode="External"/><Relationship Id="rId25" Type="http://schemas.openxmlformats.org/officeDocument/2006/relationships/hyperlink" Target="https://docs.microsoft.com/en-us/azure/active-directory/hybrid/reference-connect-accounts-permissions" TargetMode="External"/><Relationship Id="rId67" Type="http://schemas.openxmlformats.org/officeDocument/2006/relationships/hyperlink" Target="https://docs.microsoft.com/en-us/mem/intune/fundamentals/role-based-access-control" TargetMode="External"/><Relationship Id="rId272" Type="http://schemas.openxmlformats.org/officeDocument/2006/relationships/hyperlink" Target="https://docs.microsoft.com/en-us/windows/security/threat-protection/windows-defender-application-control/select-types-of-rules-to-create" TargetMode="External"/><Relationship Id="rId328" Type="http://schemas.openxmlformats.org/officeDocument/2006/relationships/hyperlink" Target="https://security.microsoft.com/" TargetMode="External"/><Relationship Id="rId535" Type="http://schemas.openxmlformats.org/officeDocument/2006/relationships/hyperlink" Target="https://docs.microsoft.com/en-us/microsoft-365/compliance/assign-ediscovery-permissions?view=o365-worldwide" TargetMode="External"/><Relationship Id="rId132" Type="http://schemas.openxmlformats.org/officeDocument/2006/relationships/hyperlink" Target="https://entra.microsoft.com/" TargetMode="External"/><Relationship Id="rId174" Type="http://schemas.openxmlformats.org/officeDocument/2006/relationships/hyperlink" Target="https://portal.azure.com/" TargetMode="External"/><Relationship Id="rId381" Type="http://schemas.openxmlformats.org/officeDocument/2006/relationships/hyperlink" Target="https://learn.microsoft.com/en-us/azure/active-directory/governance/review-recommendations-access-reviews" TargetMode="External"/><Relationship Id="rId241" Type="http://schemas.openxmlformats.org/officeDocument/2006/relationships/hyperlink" Target="https://docs.microsoft.com/en-us/cloud-app-security/policies-threat-protection" TargetMode="External"/><Relationship Id="rId437" Type="http://schemas.openxmlformats.org/officeDocument/2006/relationships/hyperlink" Target="https://intune.microsoft.com/" TargetMode="External"/><Relationship Id="rId479" Type="http://schemas.openxmlformats.org/officeDocument/2006/relationships/hyperlink" Target="https://docs.microsoft.com/en-us/azure/defender-for-cloud/enhanced-security-features-overview" TargetMode="External"/><Relationship Id="rId36" Type="http://schemas.openxmlformats.org/officeDocument/2006/relationships/hyperlink" Target="https://docs.microsoft.com/en-us/azure/active-directory/roles/delegate-by-task" TargetMode="External"/><Relationship Id="rId283" Type="http://schemas.openxmlformats.org/officeDocument/2006/relationships/hyperlink" Target="https://docs.microsoft.com/en-us/mem/intune/apps/app-protection-policy" TargetMode="External"/><Relationship Id="rId339" Type="http://schemas.openxmlformats.org/officeDocument/2006/relationships/hyperlink" Target="https://docs.microsoft.com/en-us/azure/defender-for-cloud/enhanced-security-features-overview" TargetMode="External"/><Relationship Id="rId490" Type="http://schemas.openxmlformats.org/officeDocument/2006/relationships/hyperlink" Target="https://docs.microsoft.com/en-us/microsoft-365/security/office-365-security/permissions-microsoft-365-security-center?view=o365-worldwide" TargetMode="External"/><Relationship Id="rId504" Type="http://schemas.openxmlformats.org/officeDocument/2006/relationships/hyperlink" Target="https://purview.microsoft.com/" TargetMode="External"/><Relationship Id="rId546" Type="http://schemas.openxmlformats.org/officeDocument/2006/relationships/hyperlink" Target="https://purview.microsoft.com/" TargetMode="External"/><Relationship Id="rId78" Type="http://schemas.openxmlformats.org/officeDocument/2006/relationships/hyperlink" Target="https://docs.microsoft.com/en-us/microsoft-365/security/defender-endpoint/rbac?view=o365-worldwide" TargetMode="External"/><Relationship Id="rId101" Type="http://schemas.openxmlformats.org/officeDocument/2006/relationships/hyperlink" Target="https://docs.microsoft.com/en-us/MicrosoftTeams/using-admin-roles" TargetMode="External"/><Relationship Id="rId143" Type="http://schemas.openxmlformats.org/officeDocument/2006/relationships/hyperlink" Target="https://entra.microsoft.com/" TargetMode="External"/><Relationship Id="rId185" Type="http://schemas.openxmlformats.org/officeDocument/2006/relationships/hyperlink" Target="https://security.microsoft.com/" TargetMode="External"/><Relationship Id="rId350" Type="http://schemas.openxmlformats.org/officeDocument/2006/relationships/hyperlink" Target="https://learn.microsoft.com/en-us/mem/analytics/overview" TargetMode="External"/><Relationship Id="rId406" Type="http://schemas.openxmlformats.org/officeDocument/2006/relationships/hyperlink" Target="https://learn.microsoft.com/en-us/entra/global-secure-access/concept-universal-conditional-access" TargetMode="External"/><Relationship Id="rId9" Type="http://schemas.openxmlformats.org/officeDocument/2006/relationships/hyperlink" Target="https://learn.microsoft.com/en-us/entra/identity/conditional-access/concept-assignment-network" TargetMode="External"/><Relationship Id="rId210" Type="http://schemas.openxmlformats.org/officeDocument/2006/relationships/hyperlink" Target="https://docs.microsoft.com/en-us/azure/azure-arc/servers/plan-at-scale-deployment" TargetMode="External"/><Relationship Id="rId392" Type="http://schemas.openxmlformats.org/officeDocument/2006/relationships/hyperlink" Target="https://learn.microsoft.com/en-us/microsoft-365/security/office-365-security/permissions-in-the-security-and-compliance-center?view=o365-worldwide" TargetMode="External"/><Relationship Id="rId448" Type="http://schemas.openxmlformats.org/officeDocument/2006/relationships/hyperlink" Target="https://intune.microsoft.com/" TargetMode="External"/><Relationship Id="rId252" Type="http://schemas.openxmlformats.org/officeDocument/2006/relationships/hyperlink" Target="https://docs.microsoft.com/en-us/microsoft-365/security/office-365-security/configure-anti-malware-policies?view=o365-worldwide" TargetMode="External"/><Relationship Id="rId294" Type="http://schemas.openxmlformats.org/officeDocument/2006/relationships/hyperlink" Target="https://docs.microsoft.com/en-us/azure/active-directory/governance/entitlement-management-overview" TargetMode="External"/><Relationship Id="rId308" Type="http://schemas.openxmlformats.org/officeDocument/2006/relationships/hyperlink" Target="https://docs.microsoft.com/en-us/microsoft-365/security/defender-endpoint/production-deployment?view=o365-worldwide" TargetMode="External"/><Relationship Id="rId515" Type="http://schemas.openxmlformats.org/officeDocument/2006/relationships/hyperlink" Target="https://purview.microsoft.com/" TargetMode="External"/><Relationship Id="rId47" Type="http://schemas.openxmlformats.org/officeDocument/2006/relationships/hyperlink" Target="https://docs.microsoft.com/en-us/mem/intune/protect/microsoft-tunnel-prerequisites" TargetMode="External"/><Relationship Id="rId89" Type="http://schemas.openxmlformats.org/officeDocument/2006/relationships/hyperlink" Target="https://docs.microsoft.com/en-us/azure/defender-for-cloud/enhanced-security-features-overview" TargetMode="External"/><Relationship Id="rId112" Type="http://schemas.openxmlformats.org/officeDocument/2006/relationships/hyperlink" Target="https://docs.microsoft.com/en-us/azure/active-directory/roles/permissions-reference" TargetMode="External"/><Relationship Id="rId154" Type="http://schemas.openxmlformats.org/officeDocument/2006/relationships/hyperlink" Target="https://entra.microsoft.com/" TargetMode="External"/><Relationship Id="rId361" Type="http://schemas.openxmlformats.org/officeDocument/2006/relationships/hyperlink" Target="https://learn.microsoft.com/en-us/azure/defender-for-cloud/defender-for-devops-introduction" TargetMode="External"/><Relationship Id="rId557" Type="http://schemas.openxmlformats.org/officeDocument/2006/relationships/hyperlink" Target="https://learn.microsoft.com/en-us/azure/defender-for-cloud/ai-security-posture" TargetMode="External"/><Relationship Id="rId196" Type="http://schemas.openxmlformats.org/officeDocument/2006/relationships/hyperlink" Target="https://docs.microsoft.com/en-us/microsoft-365/compliance/customer-lockbox-requests?view=o365-worldwide" TargetMode="External"/><Relationship Id="rId417" Type="http://schemas.openxmlformats.org/officeDocument/2006/relationships/hyperlink" Target="https://entra.microsoft.com/" TargetMode="External"/><Relationship Id="rId459" Type="http://schemas.openxmlformats.org/officeDocument/2006/relationships/hyperlink" Target="https://intune.microsoft.com/" TargetMode="External"/><Relationship Id="rId16" Type="http://schemas.openxmlformats.org/officeDocument/2006/relationships/hyperlink" Target="https://docs.microsoft.com/en-us/azure/active-directory/conditional-access/howto-conditional-access-policy-risk-user" TargetMode="External"/><Relationship Id="rId221" Type="http://schemas.openxmlformats.org/officeDocument/2006/relationships/hyperlink" Target="https://docs.microsoft.com/en-us/microsoft-365/compliance/double-key-encryption?view=o365-worldwide" TargetMode="External"/><Relationship Id="rId263" Type="http://schemas.openxmlformats.org/officeDocument/2006/relationships/hyperlink" Target="https://docs.microsoft.com/en-us/microsoft-365/security/defender-endpoint/android-intune?view=o365-worldwide" TargetMode="External"/><Relationship Id="rId319" Type="http://schemas.openxmlformats.org/officeDocument/2006/relationships/hyperlink" Target="https://entra.microsoft.com/" TargetMode="External"/><Relationship Id="rId470" Type="http://schemas.openxmlformats.org/officeDocument/2006/relationships/hyperlink" Target="https://learn.microsoft.com/en-us/mem/analytics/overview" TargetMode="External"/><Relationship Id="rId526" Type="http://schemas.openxmlformats.org/officeDocument/2006/relationships/hyperlink" Target="https://portal.azure.com/" TargetMode="External"/><Relationship Id="rId58" Type="http://schemas.openxmlformats.org/officeDocument/2006/relationships/hyperlink" Target="https://docs.microsoft.com/en-us/mem/intune/fundamentals/role-based-access-control" TargetMode="External"/><Relationship Id="rId123" Type="http://schemas.openxmlformats.org/officeDocument/2006/relationships/hyperlink" Target="https://docs.microsoft.com/en-us/azure/azure-monitor/roles-permissions-security" TargetMode="External"/><Relationship Id="rId330" Type="http://schemas.openxmlformats.org/officeDocument/2006/relationships/hyperlink" Target="https://security.microsoft.com/" TargetMode="External"/><Relationship Id="rId568" Type="http://schemas.openxmlformats.org/officeDocument/2006/relationships/comments" Target="../comments1.xml"/><Relationship Id="rId165" Type="http://schemas.openxmlformats.org/officeDocument/2006/relationships/hyperlink" Target="https://portal.azure.com/" TargetMode="External"/><Relationship Id="rId372" Type="http://schemas.openxmlformats.org/officeDocument/2006/relationships/hyperlink" Target="https://learn.microsoft.com/en-us/azure/global-secure-access/how-to-configure-quick-access" TargetMode="External"/><Relationship Id="rId428" Type="http://schemas.openxmlformats.org/officeDocument/2006/relationships/hyperlink" Target="https://docs.microsoft.com/en-us/azure/active-directory/manage-apps/configure-user-consent?tabs=azure-portal" TargetMode="External"/><Relationship Id="rId232" Type="http://schemas.openxmlformats.org/officeDocument/2006/relationships/hyperlink" Target="https://docs.microsoft.com/en-us/azure/information-protection/deploy-aip-scanner" TargetMode="External"/><Relationship Id="rId274" Type="http://schemas.openxmlformats.org/officeDocument/2006/relationships/hyperlink" Target="https://docs.microsoft.com/en-us/windows/security/threat-protection/windows-firewall/best-practices-configuring" TargetMode="External"/><Relationship Id="rId481" Type="http://schemas.openxmlformats.org/officeDocument/2006/relationships/hyperlink" Target="https://docs.microsoft.com/en-us/azure/defender-for-cloud/enhanced-security-features-overview" TargetMode="External"/><Relationship Id="rId27" Type="http://schemas.openxmlformats.org/officeDocument/2006/relationships/hyperlink" Target="https://docs.microsoft.com/en-us/sharepoint/sharepoint-admin-role" TargetMode="External"/><Relationship Id="rId69" Type="http://schemas.openxmlformats.org/officeDocument/2006/relationships/hyperlink" Target="https://docs.microsoft.com/en-us/mem/intune/fundamentals/role-based-access-control" TargetMode="External"/><Relationship Id="rId134" Type="http://schemas.openxmlformats.org/officeDocument/2006/relationships/hyperlink" Target="https://entra.microsoft.com/" TargetMode="External"/><Relationship Id="rId537" Type="http://schemas.openxmlformats.org/officeDocument/2006/relationships/hyperlink" Target="https://docs.microsoft.com/en-us/microsoft-365/compliance/assign-ediscovery-permissions?view=o365-worldwide" TargetMode="External"/><Relationship Id="rId80" Type="http://schemas.openxmlformats.org/officeDocument/2006/relationships/hyperlink" Target="https://docs.microsoft.com/en-us/microsoft-365/security/defender-endpoint/prepare-deployment?view=o365-worldwide" TargetMode="External"/><Relationship Id="rId176" Type="http://schemas.openxmlformats.org/officeDocument/2006/relationships/hyperlink" Target="https://portal.azure.com/" TargetMode="External"/><Relationship Id="rId341" Type="http://schemas.openxmlformats.org/officeDocument/2006/relationships/hyperlink" Target="https://learn.microsoft.com/en-us/microsoft-365/compliance/customer-key-set-up?view=o365-worldwide" TargetMode="External"/><Relationship Id="rId383" Type="http://schemas.openxmlformats.org/officeDocument/2006/relationships/hyperlink" Target="https://learn.microsoft.com/en-us/azure/active-directory/governance/entitlement-management-delegate" TargetMode="External"/><Relationship Id="rId439" Type="http://schemas.openxmlformats.org/officeDocument/2006/relationships/hyperlink" Target="https://intune.microsoft.com/" TargetMode="External"/><Relationship Id="rId201" Type="http://schemas.openxmlformats.org/officeDocument/2006/relationships/hyperlink" Target="https://docs.microsoft.com/en-us/azure/purview/concept-elastic-data-map" TargetMode="External"/><Relationship Id="rId243" Type="http://schemas.openxmlformats.org/officeDocument/2006/relationships/hyperlink" Target="https://docs.microsoft.com/en-us/microsoftteams/set-up-guests" TargetMode="External"/><Relationship Id="rId285" Type="http://schemas.openxmlformats.org/officeDocument/2006/relationships/hyperlink" Target="https://docs.microsoft.com/en-us/mem/intune/enrollment/device-group-mapping" TargetMode="External"/><Relationship Id="rId450" Type="http://schemas.openxmlformats.org/officeDocument/2006/relationships/hyperlink" Target="https://intune.microsoft.com/" TargetMode="External"/><Relationship Id="rId506" Type="http://schemas.openxmlformats.org/officeDocument/2006/relationships/hyperlink" Target="https://purview.microsoft.com/" TargetMode="External"/><Relationship Id="rId38" Type="http://schemas.openxmlformats.org/officeDocument/2006/relationships/hyperlink" Target="https://docs.microsoft.com/en-us/azure/active-directory/roles/delegate-by-task" TargetMode="External"/><Relationship Id="rId103" Type="http://schemas.openxmlformats.org/officeDocument/2006/relationships/hyperlink" Target="https://docs.microsoft.com/en-us/defender-for-identity/role-groups" TargetMode="External"/><Relationship Id="rId310" Type="http://schemas.openxmlformats.org/officeDocument/2006/relationships/hyperlink" Target="https://docs.microsoft.com/en-us/microsoft-365/security/defender-endpoint/rbac?view=o365-worldwide" TargetMode="External"/><Relationship Id="rId492" Type="http://schemas.openxmlformats.org/officeDocument/2006/relationships/hyperlink" Target="https://purview.microsoft.com/" TargetMode="External"/><Relationship Id="rId548" Type="http://schemas.openxmlformats.org/officeDocument/2006/relationships/hyperlink" Target="https://security.microsoft.com/" TargetMode="External"/><Relationship Id="rId91" Type="http://schemas.openxmlformats.org/officeDocument/2006/relationships/hyperlink" Target="https://docs.microsoft.com/en-us/azure/defender-for-cloud/enhanced-security-features-overview" TargetMode="External"/><Relationship Id="rId145" Type="http://schemas.openxmlformats.org/officeDocument/2006/relationships/hyperlink" Target="https://entra.microsoft.com/" TargetMode="External"/><Relationship Id="rId187" Type="http://schemas.openxmlformats.org/officeDocument/2006/relationships/hyperlink" Target="https://admin.microsoft.com/" TargetMode="External"/><Relationship Id="rId352" Type="http://schemas.openxmlformats.org/officeDocument/2006/relationships/hyperlink" Target="https://learn.microsoft.com/en-us/azure/active-directory/devices/howto-hybrid-azure-ad-join" TargetMode="External"/><Relationship Id="rId394" Type="http://schemas.openxmlformats.org/officeDocument/2006/relationships/hyperlink" Target="https://learn.microsoft.com/en-us/exchange/permissions-exo/feature-permissions" TargetMode="External"/><Relationship Id="rId408" Type="http://schemas.openxmlformats.org/officeDocument/2006/relationships/hyperlink" Target="https://learn.microsoft.com/en-us/entra/global-secure-access/how-to-configure-web-content-filtering" TargetMode="External"/><Relationship Id="rId212" Type="http://schemas.openxmlformats.org/officeDocument/2006/relationships/hyperlink" Target="https://docs.microsoft.com/en-us/microsoft-365/compliance/dlp-on-premises-scanner-get-started?view=o365-worldwide" TargetMode="External"/><Relationship Id="rId254" Type="http://schemas.openxmlformats.org/officeDocument/2006/relationships/hyperlink" Target="https://docs.microsoft.com/en-gb/azure/security-center/defender-for-dns-introduction" TargetMode="External"/><Relationship Id="rId49" Type="http://schemas.openxmlformats.org/officeDocument/2006/relationships/hyperlink" Target="https://docs.microsoft.com/en-us/azure/active-directory/roles/permissions-reference" TargetMode="External"/><Relationship Id="rId114" Type="http://schemas.openxmlformats.org/officeDocument/2006/relationships/hyperlink" Target="https://docs.microsoft.com/en-us/azure/active-directory/roles/permissions-reference" TargetMode="External"/><Relationship Id="rId296" Type="http://schemas.openxmlformats.org/officeDocument/2006/relationships/hyperlink" Target="https://docs.microsoft.com/en-us/azure/active-directory/enterprise-users/groups-create-rule" TargetMode="External"/><Relationship Id="rId461" Type="http://schemas.openxmlformats.org/officeDocument/2006/relationships/hyperlink" Target="https://intune.microsoft.com/" TargetMode="External"/><Relationship Id="rId517" Type="http://schemas.openxmlformats.org/officeDocument/2006/relationships/hyperlink" Target="https://purview.microsoft.com/" TargetMode="External"/><Relationship Id="rId559" Type="http://schemas.openxmlformats.org/officeDocument/2006/relationships/hyperlink" Target="https://learn.microsoft.com/en-us/azure/cloud-adoption-framework/ai-agents/governance-security-across-organization" TargetMode="External"/><Relationship Id="rId60" Type="http://schemas.openxmlformats.org/officeDocument/2006/relationships/hyperlink" Target="https://docs.microsoft.com/en-us/mem/configmgr/comanage/overview" TargetMode="External"/><Relationship Id="rId156" Type="http://schemas.openxmlformats.org/officeDocument/2006/relationships/hyperlink" Target="https://portal.azure.com/" TargetMode="External"/><Relationship Id="rId198" Type="http://schemas.openxmlformats.org/officeDocument/2006/relationships/hyperlink" Target="https://docs.microsoft.com/en-us/azure/governance/policy/tutorials/create-and-manage" TargetMode="External"/><Relationship Id="rId321" Type="http://schemas.openxmlformats.org/officeDocument/2006/relationships/hyperlink" Target="https://entra.microsoft.com/" TargetMode="External"/><Relationship Id="rId363" Type="http://schemas.openxmlformats.org/officeDocument/2006/relationships/hyperlink" Target="https://security.microsoft.com/" TargetMode="External"/><Relationship Id="rId419" Type="http://schemas.openxmlformats.org/officeDocument/2006/relationships/hyperlink" Target="https://docs.microsoft.com/en-us/azure/active-directory/roles/delegate-by-task" TargetMode="External"/><Relationship Id="rId223" Type="http://schemas.openxmlformats.org/officeDocument/2006/relationships/hyperlink" Target="https://docs.microsoft.com/en-us/microsoft-365/compliance/manage-information-governance?view=o365-worldwide" TargetMode="External"/><Relationship Id="rId430" Type="http://schemas.openxmlformats.org/officeDocument/2006/relationships/hyperlink" Target="https://learn.microsoft.com/en-us/azure/active-directory/roles/permissions-reference" TargetMode="External"/><Relationship Id="rId18" Type="http://schemas.openxmlformats.org/officeDocument/2006/relationships/hyperlink" Target="https://docs.microsoft.com/en-GB/azure/active-directory/roles/" TargetMode="External"/><Relationship Id="rId265" Type="http://schemas.openxmlformats.org/officeDocument/2006/relationships/hyperlink" Target="https://docs.microsoft.com/en-us/microsoft-365/security/defender-endpoint/production-deployment?view=o365-worldwide" TargetMode="External"/><Relationship Id="rId472" Type="http://schemas.openxmlformats.org/officeDocument/2006/relationships/hyperlink" Target="https://docs.microsoft.com/en-us/mem/intune/fundamentals/role-based-access-control" TargetMode="External"/><Relationship Id="rId528" Type="http://schemas.openxmlformats.org/officeDocument/2006/relationships/hyperlink" Target="https://purview.microsoft.com/" TargetMode="External"/><Relationship Id="rId125" Type="http://schemas.openxmlformats.org/officeDocument/2006/relationships/hyperlink" Target="https://docs.microsoft.com/en-us/microsoft-365/compliance/assign-ediscovery-permissions?view=o365-worldwide" TargetMode="External"/><Relationship Id="rId167" Type="http://schemas.openxmlformats.org/officeDocument/2006/relationships/hyperlink" Target="https://portal.azure.com/" TargetMode="External"/><Relationship Id="rId332" Type="http://schemas.openxmlformats.org/officeDocument/2006/relationships/hyperlink" Target="https://security.microsoft.com/" TargetMode="External"/><Relationship Id="rId374" Type="http://schemas.openxmlformats.org/officeDocument/2006/relationships/hyperlink" Target="https://learn.microsoft.com/en-us/azure/active-directory/roles/permissions-reference" TargetMode="External"/><Relationship Id="rId71" Type="http://schemas.openxmlformats.org/officeDocument/2006/relationships/hyperlink" Target="https://docs.microsoft.com/en-us/mem/intune/fundamentals/role-based-access-control" TargetMode="External"/><Relationship Id="rId234" Type="http://schemas.openxmlformats.org/officeDocument/2006/relationships/hyperlink" Target="https://docs.microsoft.com/en-us/azure/information-protection/deploy-aip-scanner" TargetMode="External"/><Relationship Id="rId2" Type="http://schemas.openxmlformats.org/officeDocument/2006/relationships/hyperlink" Target="https://docs.microsoft.com/en-us/azure/active-directory/hybrid/how-to-connect-password-hash-synchronization" TargetMode="External"/><Relationship Id="rId29" Type="http://schemas.openxmlformats.org/officeDocument/2006/relationships/hyperlink" Target="https://docs.microsoft.com/en-us/azure/active-directory/roles/delegate-by-task" TargetMode="External"/><Relationship Id="rId276" Type="http://schemas.openxmlformats.org/officeDocument/2006/relationships/hyperlink" Target="https://www.microsoft.com/security/blog/2018/04/19/introducing-windows-defender-system-guard-runtime-attestation/" TargetMode="External"/><Relationship Id="rId441" Type="http://schemas.openxmlformats.org/officeDocument/2006/relationships/hyperlink" Target="https://intune.microsoft.com/" TargetMode="External"/><Relationship Id="rId483" Type="http://schemas.openxmlformats.org/officeDocument/2006/relationships/hyperlink" Target="https://docs.microsoft.com/en-us/azure/defender-for-cloud/enhanced-security-features-overview" TargetMode="External"/><Relationship Id="rId539" Type="http://schemas.openxmlformats.org/officeDocument/2006/relationships/hyperlink" Target="https://learn.microsoft.com/en-us/purview/insider-risk-management-adaptive-protection?tabs=purview-portal" TargetMode="External"/><Relationship Id="rId40" Type="http://schemas.openxmlformats.org/officeDocument/2006/relationships/hyperlink" Target="https://docs.microsoft.com/en-us/azure/active-directory/roles/delegate-by-task" TargetMode="External"/><Relationship Id="rId136" Type="http://schemas.openxmlformats.org/officeDocument/2006/relationships/hyperlink" Target="https://entra.microsoft.com/" TargetMode="External"/><Relationship Id="rId178" Type="http://schemas.openxmlformats.org/officeDocument/2006/relationships/hyperlink" Target="https://portal.azure.com/" TargetMode="External"/><Relationship Id="rId301" Type="http://schemas.openxmlformats.org/officeDocument/2006/relationships/hyperlink" Target="https://docs.microsoft.com/en-us/mem/intune/protect/microsoft-tunnel-configure" TargetMode="External"/><Relationship Id="rId343" Type="http://schemas.openxmlformats.org/officeDocument/2006/relationships/hyperlink" Target="https://learn.microsoft.com/en-us/azure/active-directory/conditional-access/howto-conditional-access-policy-authentication-strength-external" TargetMode="External"/><Relationship Id="rId550" Type="http://schemas.openxmlformats.org/officeDocument/2006/relationships/hyperlink" Target="https://admin.powerplatform.microsoft.com/" TargetMode="External"/><Relationship Id="rId82" Type="http://schemas.openxmlformats.org/officeDocument/2006/relationships/hyperlink" Target="https://docs.microsoft.com/en-us/microsoft-365/security/defender-endpoint/prepare-deployment?view=o365-worldwide" TargetMode="External"/><Relationship Id="rId203" Type="http://schemas.openxmlformats.org/officeDocument/2006/relationships/hyperlink" Target="https://docs.microsoft.com/en-us/microsoft-365/compliance/information-barriers-policies?view=o365-worldwide" TargetMode="External"/><Relationship Id="rId385" Type="http://schemas.openxmlformats.org/officeDocument/2006/relationships/hyperlink" Target="https://portal.azure.com/" TargetMode="External"/><Relationship Id="rId245" Type="http://schemas.openxmlformats.org/officeDocument/2006/relationships/hyperlink" Target="https://docs.microsoft.com/en-us/exchange/troubleshoot/antispam-and-protection/how-to-reduce-malware-threats-via-file-attachment-blocking" TargetMode="External"/><Relationship Id="rId287" Type="http://schemas.openxmlformats.org/officeDocument/2006/relationships/hyperlink" Target="https://docs.microsoft.com/en-us/mem/configmgr/comanage/how-to-enable" TargetMode="External"/><Relationship Id="rId410" Type="http://schemas.openxmlformats.org/officeDocument/2006/relationships/hyperlink" Target="https://learn.microsoft.com/en-us/entra/verified-id/verifiable-credentials-configure-tenant-quick" TargetMode="External"/><Relationship Id="rId452" Type="http://schemas.openxmlformats.org/officeDocument/2006/relationships/hyperlink" Target="https://intune.microsoft.com/" TargetMode="External"/><Relationship Id="rId494" Type="http://schemas.openxmlformats.org/officeDocument/2006/relationships/hyperlink" Target="https://purview.microsoft.com/" TargetMode="External"/><Relationship Id="rId508" Type="http://schemas.openxmlformats.org/officeDocument/2006/relationships/hyperlink" Target="https://purview.microsoft.com/" TargetMode="External"/><Relationship Id="rId105" Type="http://schemas.openxmlformats.org/officeDocument/2006/relationships/hyperlink" Target="https://docs.microsoft.com/en-us/microsoft-365/security/office-365-security/permissions-microsoft-365-security-center?view=o365-worldwide" TargetMode="External"/><Relationship Id="rId147" Type="http://schemas.openxmlformats.org/officeDocument/2006/relationships/hyperlink" Target="https://entra.microsoft.com/" TargetMode="External"/><Relationship Id="rId312" Type="http://schemas.openxmlformats.org/officeDocument/2006/relationships/hyperlink" Target="https://docs.microsoft.com/en-us/microsoft-365/security/defender-endpoint/rbac?view=o365-worldwide" TargetMode="External"/><Relationship Id="rId354" Type="http://schemas.openxmlformats.org/officeDocument/2006/relationships/hyperlink" Target="https://learn.microsoft.com/en-us/intune/advanced-analytics/" TargetMode="External"/><Relationship Id="rId51" Type="http://schemas.openxmlformats.org/officeDocument/2006/relationships/hyperlink" Target="https://docs.microsoft.com/en-us/azure/active-directory/enterprise-users/groups-create-rule" TargetMode="External"/><Relationship Id="rId93" Type="http://schemas.openxmlformats.org/officeDocument/2006/relationships/hyperlink" Target="https://docs.microsoft.com/en-us/microsoft-365/security/office-365-security/configure-anti-malware-policies?view=o365-worldwide" TargetMode="External"/><Relationship Id="rId189" Type="http://schemas.openxmlformats.org/officeDocument/2006/relationships/hyperlink" Target="https://admin.microsoft.com/" TargetMode="External"/><Relationship Id="rId396" Type="http://schemas.openxmlformats.org/officeDocument/2006/relationships/hyperlink" Target="https://learn.microsoft.com/en-us/purview/dlp-osp-get-started" TargetMode="External"/><Relationship Id="rId561" Type="http://schemas.openxmlformats.org/officeDocument/2006/relationships/hyperlink" Target="https://learn.microsoft.com/en-us/purview/dlp-microsoft365-copilot-location-learn-about" TargetMode="External"/><Relationship Id="rId214" Type="http://schemas.openxmlformats.org/officeDocument/2006/relationships/hyperlink" Target="https://docs.microsoft.com/en-gb/privacy/priva/priva-overview?culture=en-gb&amp;country=GB" TargetMode="External"/><Relationship Id="rId256" Type="http://schemas.openxmlformats.org/officeDocument/2006/relationships/hyperlink" Target="https://docs.microsoft.com/en-gb/azure/security-center/defender-for-key-vault-introduction" TargetMode="External"/><Relationship Id="rId298" Type="http://schemas.openxmlformats.org/officeDocument/2006/relationships/hyperlink" Target="https://docs.microsoft.com/en-us/azure/active-directory/reports-monitoring/howto-manage-inactive-user-accounts" TargetMode="External"/><Relationship Id="rId421" Type="http://schemas.openxmlformats.org/officeDocument/2006/relationships/hyperlink" Target="https://docs.microsoft.com/en-us/azure/active-directory/roles/permissions-reference" TargetMode="External"/><Relationship Id="rId463" Type="http://schemas.openxmlformats.org/officeDocument/2006/relationships/hyperlink" Target="https://intune.microsoft.com/" TargetMode="External"/><Relationship Id="rId519" Type="http://schemas.openxmlformats.org/officeDocument/2006/relationships/hyperlink" Target="https://purview.microsoft.com/" TargetMode="External"/><Relationship Id="rId116" Type="http://schemas.openxmlformats.org/officeDocument/2006/relationships/hyperlink" Target="https://docs.microsoft.com/en-us/defender-cloud-apps/manage-admins" TargetMode="External"/><Relationship Id="rId158" Type="http://schemas.openxmlformats.org/officeDocument/2006/relationships/hyperlink" Target="https://security.microsoft.com/" TargetMode="External"/><Relationship Id="rId323" Type="http://schemas.openxmlformats.org/officeDocument/2006/relationships/hyperlink" Target="https://learn.microsoft.com/en-us/azure/active-directory/roles/permissions-reference" TargetMode="External"/><Relationship Id="rId530" Type="http://schemas.openxmlformats.org/officeDocument/2006/relationships/hyperlink" Target="https://techcommunity.microsoft.com/blog/microsoftmechanicsblog/data-security-posture-management-dspm-new-to-microsoft-purview/4329785" TargetMode="External"/><Relationship Id="rId20" Type="http://schemas.openxmlformats.org/officeDocument/2006/relationships/hyperlink" Target="https://docs.microsoft.com/en-us/azure/active-directory/conditional-access/concept-conditional-access-cloud-apps" TargetMode="External"/><Relationship Id="rId62" Type="http://schemas.openxmlformats.org/officeDocument/2006/relationships/hyperlink" Target="https://docs.microsoft.com/en-us/mem/intune/fundamentals/role-based-access-control" TargetMode="External"/><Relationship Id="rId365" Type="http://schemas.openxmlformats.org/officeDocument/2006/relationships/hyperlink" Target="https://learn.microsoft.com/en-us/microsoft-365/security/defender-endpoint/configure-server-endpoints?view=o365-worldwide" TargetMode="External"/><Relationship Id="rId225" Type="http://schemas.openxmlformats.org/officeDocument/2006/relationships/hyperlink" Target="https://docs.microsoft.com/en-us/cloud-app-security/control" TargetMode="External"/><Relationship Id="rId267" Type="http://schemas.openxmlformats.org/officeDocument/2006/relationships/hyperlink" Target="https://www.microsoft.com/en-gb/fasttrack/microsoft-365/app-assure" TargetMode="External"/><Relationship Id="rId432" Type="http://schemas.openxmlformats.org/officeDocument/2006/relationships/hyperlink" Target="https://docs.microsoft.com/en-us/azure/active-directory/roles/permissions-reference" TargetMode="External"/><Relationship Id="rId474" Type="http://schemas.openxmlformats.org/officeDocument/2006/relationships/hyperlink" Target="https://entra.microsoft.com/" TargetMode="External"/><Relationship Id="rId127" Type="http://schemas.openxmlformats.org/officeDocument/2006/relationships/hyperlink" Target="https://docs.microsoft.com/en-us/azure/purview/catalog-permissions" TargetMode="External"/><Relationship Id="rId31" Type="http://schemas.openxmlformats.org/officeDocument/2006/relationships/hyperlink" Target="https://docs.microsoft.com/en-us/azure/active-directory/authentication/howto-authentication-temporary-access-pass" TargetMode="External"/><Relationship Id="rId73" Type="http://schemas.openxmlformats.org/officeDocument/2006/relationships/hyperlink" Target="https://docs.microsoft.com/en-us/mem/intune/fundamentals/role-based-access-control" TargetMode="External"/><Relationship Id="rId169" Type="http://schemas.openxmlformats.org/officeDocument/2006/relationships/hyperlink" Target="https://portal.azure.com/" TargetMode="External"/><Relationship Id="rId334" Type="http://schemas.openxmlformats.org/officeDocument/2006/relationships/hyperlink" Target="https://learn.microsoft.com/en-us/microsoft-365/security/office-365-security/permissions-in-the-security-and-compliance-center?view=o365-worldwide" TargetMode="External"/><Relationship Id="rId376" Type="http://schemas.openxmlformats.org/officeDocument/2006/relationships/hyperlink" Target="https://learn.microsoft.com/en-us/azure/active-directory/app-provisioning/inbound-provisioning-api-configure-app" TargetMode="External"/><Relationship Id="rId541" Type="http://schemas.openxmlformats.org/officeDocument/2006/relationships/hyperlink" Target="https://learn.microsoft.com/copilot/microsoft-365/copilot-control-system/security-governance" TargetMode="External"/><Relationship Id="rId4" Type="http://schemas.openxmlformats.org/officeDocument/2006/relationships/hyperlink" Target="https://techcommunity.microsoft.com/t5/microsoft-sharepoint-blog/migrate-your-content-into-microsoft-365/ba-p/1604587" TargetMode="External"/><Relationship Id="rId180" Type="http://schemas.openxmlformats.org/officeDocument/2006/relationships/hyperlink" Target="https://portal.azure.com/" TargetMode="External"/><Relationship Id="rId236" Type="http://schemas.openxmlformats.org/officeDocument/2006/relationships/hyperlink" Target="https://docs.microsoft.com/en-us/microsoft-365/compliance/classifier-learn-about?view=o365-worldwide" TargetMode="External"/><Relationship Id="rId278" Type="http://schemas.openxmlformats.org/officeDocument/2006/relationships/hyperlink" Target="https://techcommunity.microsoft.com/t5/microsoft-defender-for-endpoint/introducing-microsoft-defender-for-endpoint-plan-1/ba-p/2636641" TargetMode="External"/><Relationship Id="rId401" Type="http://schemas.openxmlformats.org/officeDocument/2006/relationships/hyperlink" Target="https://learn.microsoft.com/en-us/microsoft-365/security/office-365-security/scc-permissions?view=o365-worldwide" TargetMode="External"/><Relationship Id="rId443" Type="http://schemas.openxmlformats.org/officeDocument/2006/relationships/hyperlink" Target="https://intune.microsoft.com/" TargetMode="External"/><Relationship Id="rId303" Type="http://schemas.openxmlformats.org/officeDocument/2006/relationships/hyperlink" Target="https://docs.microsoft.com/en-us/microsoft-365/security/defender/microsoft-secure-score?view=o365-worldwide" TargetMode="External"/><Relationship Id="rId485" Type="http://schemas.openxmlformats.org/officeDocument/2006/relationships/hyperlink" Target="https://www.microsoft.com/en-us/security/business/ai-machine-learning/microsoft-security-copilot?msockid=17eef9def0b66c232418ed02f1326d93" TargetMode="External"/><Relationship Id="rId42" Type="http://schemas.openxmlformats.org/officeDocument/2006/relationships/hyperlink" Target="https://docs.microsoft.com/en-us/azure/active-directory/roles/delegate-by-task" TargetMode="External"/><Relationship Id="rId84" Type="http://schemas.openxmlformats.org/officeDocument/2006/relationships/hyperlink" Target="https://docs.microsoft.com/en-us/microsoft-365/security/defender/microsoft-secure-score?view=o365-worldwide" TargetMode="External"/><Relationship Id="rId138" Type="http://schemas.openxmlformats.org/officeDocument/2006/relationships/hyperlink" Target="https://entra.microsoft.com/" TargetMode="External"/><Relationship Id="rId345" Type="http://schemas.openxmlformats.org/officeDocument/2006/relationships/hyperlink" Target="https://learn.microsoft.com/en-us/azure/defender-for-cloud/concept-cloud-security-posture-management" TargetMode="External"/><Relationship Id="rId387" Type="http://schemas.openxmlformats.org/officeDocument/2006/relationships/hyperlink" Target="https://learn.microsoft.com/en-us/entra/identity/authentication/how-to-certificate-based-authentication" TargetMode="External"/><Relationship Id="rId510" Type="http://schemas.openxmlformats.org/officeDocument/2006/relationships/hyperlink" Target="https://purview.microsoft.com/" TargetMode="External"/><Relationship Id="rId552" Type="http://schemas.openxmlformats.org/officeDocument/2006/relationships/hyperlink" Target="https://learn.microsoft.com/en-us/azure/defender-for-cloud/ai-onboarding" TargetMode="External"/><Relationship Id="rId191" Type="http://schemas.openxmlformats.org/officeDocument/2006/relationships/hyperlink" Target="https://entra.microsoft.com/" TargetMode="External"/><Relationship Id="rId205" Type="http://schemas.openxmlformats.org/officeDocument/2006/relationships/hyperlink" Target="https://docs.microsoft.com/en-us/azure/defender-for-iot/organizations/how-to-install-software" TargetMode="External"/><Relationship Id="rId247" Type="http://schemas.openxmlformats.org/officeDocument/2006/relationships/hyperlink" Target="https://docs.microsoft.com/en-us/exchange/sharing/sharing-policies/modify-a-sharing-policy" TargetMode="External"/><Relationship Id="rId412" Type="http://schemas.openxmlformats.org/officeDocument/2006/relationships/hyperlink" Target="https://entra.microsoft.com/" TargetMode="External"/><Relationship Id="rId107" Type="http://schemas.openxmlformats.org/officeDocument/2006/relationships/hyperlink" Target="https://docs.microsoft.com/en-us/azure/purview/catalog-permissions" TargetMode="External"/><Relationship Id="rId289" Type="http://schemas.openxmlformats.org/officeDocument/2006/relationships/hyperlink" Target="https://docs.microsoft.com/en-us/mem/configmgr/core/servers/deploy/install/upgrade-to-configuration-manager" TargetMode="External"/><Relationship Id="rId454" Type="http://schemas.openxmlformats.org/officeDocument/2006/relationships/hyperlink" Target="https://intune.microsoft.com/" TargetMode="External"/><Relationship Id="rId496" Type="http://schemas.openxmlformats.org/officeDocument/2006/relationships/hyperlink" Target="https://purview.microsoft.com/" TargetMode="External"/><Relationship Id="rId11" Type="http://schemas.openxmlformats.org/officeDocument/2006/relationships/hyperlink" Target="https://docs.microsoft.com/en-us/microsoft-365/admin/security-and-compliance/set-up-multi-factor-authentication?view=o365-worldwide" TargetMode="External"/><Relationship Id="rId53" Type="http://schemas.openxmlformats.org/officeDocument/2006/relationships/hyperlink" Target="https://docs.microsoft.com/en-us/azure/active-directory/governance/deploy-access-reviews" TargetMode="External"/><Relationship Id="rId149" Type="http://schemas.openxmlformats.org/officeDocument/2006/relationships/hyperlink" Target="https://entra.microsoft.com/" TargetMode="External"/><Relationship Id="rId314" Type="http://schemas.openxmlformats.org/officeDocument/2006/relationships/hyperlink" Target="https://security.microsoft.com/" TargetMode="External"/><Relationship Id="rId356" Type="http://schemas.openxmlformats.org/officeDocument/2006/relationships/hyperlink" Target="https://learn.microsoft.com/en-us/mem/analytics/overview" TargetMode="External"/><Relationship Id="rId398" Type="http://schemas.openxmlformats.org/officeDocument/2006/relationships/hyperlink" Target="https://learn.microsoft.com/en-us/microsoft-365/security/office-365-security/scc-permissions?view=o365-worldwide" TargetMode="External"/><Relationship Id="rId521" Type="http://schemas.openxmlformats.org/officeDocument/2006/relationships/hyperlink" Target="https://purview.microsoft.com/" TargetMode="External"/><Relationship Id="rId563" Type="http://schemas.openxmlformats.org/officeDocument/2006/relationships/hyperlink" Target="https://learn.microsoft.com/en-us/purview/audit-copilot" TargetMode="External"/><Relationship Id="rId95" Type="http://schemas.openxmlformats.org/officeDocument/2006/relationships/hyperlink" Target="https://docs.microsoft.com/en-us/microsoft-365/security/office-365-security/configure-anti-malware-policies?view=o365-worldwide" TargetMode="External"/><Relationship Id="rId160" Type="http://schemas.openxmlformats.org/officeDocument/2006/relationships/hyperlink" Target="https://security.microsoft.com/" TargetMode="External"/><Relationship Id="rId216" Type="http://schemas.openxmlformats.org/officeDocument/2006/relationships/hyperlink" Target="https://docs.microsoft.com/en-us/microsoft-365/security/defender-endpoint/microsoft-threat-experts?view=o365-worldwide" TargetMode="External"/><Relationship Id="rId423" Type="http://schemas.openxmlformats.org/officeDocument/2006/relationships/hyperlink" Target="https://docs.microsoft.com/en-us/azure/active-directory/roles/permissions-reference" TargetMode="External"/><Relationship Id="rId258" Type="http://schemas.openxmlformats.org/officeDocument/2006/relationships/hyperlink" Target="https://docs.microsoft.com/en-gb/azure/security-center/defender-for-sql-introduction" TargetMode="External"/><Relationship Id="rId465" Type="http://schemas.openxmlformats.org/officeDocument/2006/relationships/hyperlink" Target="https://intune.microsoft.com/" TargetMode="External"/><Relationship Id="rId22" Type="http://schemas.openxmlformats.org/officeDocument/2006/relationships/hyperlink" Target="https://www.microsoft.com/en-gb/industry/blog/cross-industry/2024/02/28/updated-office-365-security-and-compliance-guidance-for-the-uk-public-sector/" TargetMode="External"/><Relationship Id="rId64" Type="http://schemas.openxmlformats.org/officeDocument/2006/relationships/hyperlink" Target="https://docs.microsoft.com/en-us/mem/intune/fundamentals/role-based-access-control" TargetMode="External"/><Relationship Id="rId118" Type="http://schemas.openxmlformats.org/officeDocument/2006/relationships/hyperlink" Target="https://docs.microsoft.com/en-us/microsoft-365/security/defender-endpoint/rbac?view=o365-worldwide" TargetMode="External"/><Relationship Id="rId325" Type="http://schemas.openxmlformats.org/officeDocument/2006/relationships/hyperlink" Target="https://learn.microsoft.com/en-us/azure/active-directory/roles/permissions-reference" TargetMode="External"/><Relationship Id="rId367" Type="http://schemas.openxmlformats.org/officeDocument/2006/relationships/hyperlink" Target="https://entra.microsoft.com/" TargetMode="External"/><Relationship Id="rId532" Type="http://schemas.openxmlformats.org/officeDocument/2006/relationships/hyperlink" Target="https://learn.microsoft.com/en-gb/purview/insider-risk-management-adaptive-protection?view=o365-worldwide&amp;tabs=purview-portal" TargetMode="External"/><Relationship Id="rId171" Type="http://schemas.openxmlformats.org/officeDocument/2006/relationships/hyperlink" Target="https://portal.azure.com/" TargetMode="External"/><Relationship Id="rId227" Type="http://schemas.openxmlformats.org/officeDocument/2006/relationships/hyperlink" Target="https://docs.microsoft.com/en-us/microsoft-365/compliance/dlp-microsoft-teams?view=o365-worldwide" TargetMode="External"/><Relationship Id="rId269" Type="http://schemas.openxmlformats.org/officeDocument/2006/relationships/hyperlink" Target="https://docs.microsoft.com/en-us/windows/deployment/windows-autopatch/overview/windows-autopatch-overview" TargetMode="External"/><Relationship Id="rId434" Type="http://schemas.openxmlformats.org/officeDocument/2006/relationships/hyperlink" Target="https://www.microsoft.com/en-us/security/business/endpoint-management/microsoft-intune-enterprise-application-management" TargetMode="External"/><Relationship Id="rId476" Type="http://schemas.openxmlformats.org/officeDocument/2006/relationships/hyperlink" Target="https://learn.microsoft.com/en-us/entra/external-id/b2b-direct-connect-overview" TargetMode="External"/><Relationship Id="rId33" Type="http://schemas.openxmlformats.org/officeDocument/2006/relationships/hyperlink" Target="https://docs.microsoft.com/en-us/azure/active-directory/roles/permissions-reference" TargetMode="External"/><Relationship Id="rId129" Type="http://schemas.openxmlformats.org/officeDocument/2006/relationships/hyperlink" Target="https://admin.microsoft.com/" TargetMode="External"/><Relationship Id="rId280" Type="http://schemas.openxmlformats.org/officeDocument/2006/relationships/hyperlink" Target="https://docs.microsoft.com/en-us/mem/intune/protect/windows-update-for-business-configure" TargetMode="External"/><Relationship Id="rId336" Type="http://schemas.openxmlformats.org/officeDocument/2006/relationships/hyperlink" Target="https://learn.microsoft.com/en-us/azure/active-directory/roles/permissions-reference" TargetMode="External"/><Relationship Id="rId501" Type="http://schemas.openxmlformats.org/officeDocument/2006/relationships/hyperlink" Target="https://purview.microsoft.com/" TargetMode="External"/><Relationship Id="rId543" Type="http://schemas.openxmlformats.org/officeDocument/2006/relationships/hyperlink" Target="https://learn.microsoft.com/copilot/security/get-started-security-copilot" TargetMode="External"/><Relationship Id="rId75" Type="http://schemas.openxmlformats.org/officeDocument/2006/relationships/hyperlink" Target="https://docs.microsoft.com/en-us/mem/intune/fundamentals/role-based-access-control" TargetMode="External"/><Relationship Id="rId140" Type="http://schemas.openxmlformats.org/officeDocument/2006/relationships/hyperlink" Target="https://entra.microsoft.com/" TargetMode="External"/><Relationship Id="rId182" Type="http://schemas.openxmlformats.org/officeDocument/2006/relationships/hyperlink" Target="https://security.microsoft.com/" TargetMode="External"/><Relationship Id="rId378" Type="http://schemas.openxmlformats.org/officeDocument/2006/relationships/hyperlink" Target="https://learn.microsoft.com/en-us/azure/active-directory/app-provisioning/inbound-provisioning-api-configure-app" TargetMode="External"/><Relationship Id="rId403" Type="http://schemas.openxmlformats.org/officeDocument/2006/relationships/hyperlink" Target="https://learn.microsoft.com/en-us/exchange/mailbox-migration/perform-a-staged-migration/perform-a-staged-migration?source=recommendations" TargetMode="External"/><Relationship Id="rId6" Type="http://schemas.openxmlformats.org/officeDocument/2006/relationships/hyperlink" Target="https://docs.microsoft.com/en-us/azure/active-directory/manage-apps/configure-user-consent?tabs=azure-portal" TargetMode="External"/><Relationship Id="rId238" Type="http://schemas.openxmlformats.org/officeDocument/2006/relationships/hyperlink" Target="https://docs.microsoft.com/en-us/microsoft-365/compliance/sensitivity-labels?view=o365-worldwide" TargetMode="External"/><Relationship Id="rId445" Type="http://schemas.openxmlformats.org/officeDocument/2006/relationships/hyperlink" Target="https://intune.microsoft.com/" TargetMode="External"/><Relationship Id="rId487" Type="http://schemas.openxmlformats.org/officeDocument/2006/relationships/hyperlink" Target="https://security.microsoft.com/" TargetMode="External"/><Relationship Id="rId291" Type="http://schemas.openxmlformats.org/officeDocument/2006/relationships/hyperlink" Target="https://docs.microsoft.com/en-us/mem/intune/apps/app-protection-policy" TargetMode="External"/><Relationship Id="rId305" Type="http://schemas.openxmlformats.org/officeDocument/2006/relationships/hyperlink" Target="https://learn.microsoft.com/en-us/defender/threat-intelligence/gathering-threat-intelligence-and-infrastructure-chaining" TargetMode="External"/><Relationship Id="rId347" Type="http://schemas.openxmlformats.org/officeDocument/2006/relationships/hyperlink" Target="https://docs.microsoft.com/en-us/microsoft-365/security/defender/microsoft-secure-score?view=o365-worldwide" TargetMode="External"/><Relationship Id="rId512" Type="http://schemas.openxmlformats.org/officeDocument/2006/relationships/hyperlink" Target="https://purview.microsoft.com/" TargetMode="External"/><Relationship Id="rId44" Type="http://schemas.openxmlformats.org/officeDocument/2006/relationships/hyperlink" Target="https://docs.microsoft.com/en-us/azure/active-directory/roles/delegate-by-task" TargetMode="External"/><Relationship Id="rId86" Type="http://schemas.openxmlformats.org/officeDocument/2006/relationships/hyperlink" Target="https://docs.microsoft.com/en-us/azure/defender-for-cloud/enhanced-security-features-overview" TargetMode="External"/><Relationship Id="rId151" Type="http://schemas.openxmlformats.org/officeDocument/2006/relationships/hyperlink" Target="https://entra.microsoft.com/" TargetMode="External"/><Relationship Id="rId389" Type="http://schemas.openxmlformats.org/officeDocument/2006/relationships/hyperlink" Target="https://learn.microsoft.com/en-us/microsoft-365/compliance/compliance-manager-setup?view=o365-worldwide" TargetMode="External"/><Relationship Id="rId554" Type="http://schemas.openxmlformats.org/officeDocument/2006/relationships/hyperlink" Target="https://docs.microsoft.com/en-us/azure/defender-for-cloud/enhanced-security-features-overview" TargetMode="External"/><Relationship Id="rId193" Type="http://schemas.openxmlformats.org/officeDocument/2006/relationships/hyperlink" Target="https://admin.microsoft.com/" TargetMode="External"/><Relationship Id="rId207" Type="http://schemas.openxmlformats.org/officeDocument/2006/relationships/hyperlink" Target="https://learn.microsoft.com/en-us/azure/frontdoor/create-front-door-portal" TargetMode="External"/><Relationship Id="rId249" Type="http://schemas.openxmlformats.org/officeDocument/2006/relationships/hyperlink" Target="https://docs.microsoft.com/en-us/microsoft-365/security/office-365-security/attack-simulation-training-get-started?view=o365-worldwide" TargetMode="External"/><Relationship Id="rId414" Type="http://schemas.openxmlformats.org/officeDocument/2006/relationships/hyperlink" Target="https://entra.microsoft.com/" TargetMode="External"/><Relationship Id="rId456" Type="http://schemas.openxmlformats.org/officeDocument/2006/relationships/hyperlink" Target="https://intune.microsoft.com/" TargetMode="External"/><Relationship Id="rId498" Type="http://schemas.openxmlformats.org/officeDocument/2006/relationships/hyperlink" Target="https://purview.microsoft.com/" TargetMode="External"/><Relationship Id="rId13" Type="http://schemas.openxmlformats.org/officeDocument/2006/relationships/hyperlink" Target="https://learn.microsoft.com/en-us/entra/identity/authentication/concept-authentication-passwordless" TargetMode="External"/><Relationship Id="rId109" Type="http://schemas.openxmlformats.org/officeDocument/2006/relationships/hyperlink" Target="https://docs.microsoft.com/en-us/microsoft-365/compliance/microsoft-365-compliance-center-permissions?view=o365-worldwide" TargetMode="External"/><Relationship Id="rId260" Type="http://schemas.openxmlformats.org/officeDocument/2006/relationships/hyperlink" Target="https://docs.microsoft.com/en-gb/azure/security-center/defender-for-app-service-introduction" TargetMode="External"/><Relationship Id="rId316" Type="http://schemas.openxmlformats.org/officeDocument/2006/relationships/hyperlink" Target="https://learn.microsoft.com/en-us/azure/active-directory/governance/entitlement-management-organization" TargetMode="External"/><Relationship Id="rId523" Type="http://schemas.openxmlformats.org/officeDocument/2006/relationships/hyperlink" Target="https://purview.microsoft.com/" TargetMode="External"/><Relationship Id="rId55" Type="http://schemas.openxmlformats.org/officeDocument/2006/relationships/hyperlink" Target="https://docs.microsoft.com/en-us/mem/intune/fundamentals/role-based-access-control" TargetMode="External"/><Relationship Id="rId97" Type="http://schemas.openxmlformats.org/officeDocument/2006/relationships/hyperlink" Target="https://docs.microsoft.com/en-us/microsoft-365/security/office-365-security/use-dkim-to-validate-outbound-email?view=o365-worldwide" TargetMode="External"/><Relationship Id="rId120" Type="http://schemas.openxmlformats.org/officeDocument/2006/relationships/hyperlink" Target="https://docs.microsoft.com/en-us/azure/role-based-access-control/built-in-roles" TargetMode="External"/><Relationship Id="rId358" Type="http://schemas.openxmlformats.org/officeDocument/2006/relationships/hyperlink" Target="https://docs.microsoft.com/en-us/mem/intune/fundamentals/role-based-access-control" TargetMode="External"/><Relationship Id="rId565" Type="http://schemas.openxmlformats.org/officeDocument/2006/relationships/hyperlink" Target="https://docs.microsoft.com/en-us/microsoft-365/compliance/assign-ediscovery-permissions?view=o365-worldwide" TargetMode="External"/><Relationship Id="rId162" Type="http://schemas.openxmlformats.org/officeDocument/2006/relationships/hyperlink" Target="https://security.microsoft.com/" TargetMode="External"/><Relationship Id="rId218" Type="http://schemas.openxmlformats.org/officeDocument/2006/relationships/hyperlink" Target="https://docs.microsoft.com/en-us/microsoft-365/compliance/advanced-audit?view=o365-worldwide" TargetMode="External"/><Relationship Id="rId425" Type="http://schemas.openxmlformats.org/officeDocument/2006/relationships/hyperlink" Target="https://learn.microsoft.com/en-us/azure/active-directory/roles/permissions-reference" TargetMode="External"/><Relationship Id="rId467" Type="http://schemas.openxmlformats.org/officeDocument/2006/relationships/hyperlink" Target="https://intune.microsoft.com/" TargetMode="External"/><Relationship Id="rId271" Type="http://schemas.openxmlformats.org/officeDocument/2006/relationships/hyperlink" Target="https://docs.microsoft.com/en-us/windows/security/threat-protection/microsoft-defender-application-guard/md-app-guard-overview" TargetMode="External"/><Relationship Id="rId24" Type="http://schemas.openxmlformats.org/officeDocument/2006/relationships/hyperlink" Target="https://docs.microsoft.com/en-us/azure/active-directory/hybrid/reference-connect-accounts-permissions" TargetMode="External"/><Relationship Id="rId66" Type="http://schemas.openxmlformats.org/officeDocument/2006/relationships/hyperlink" Target="https://docs.microsoft.com/en-us/mem/intune/fundamentals/role-based-access-control" TargetMode="External"/><Relationship Id="rId131" Type="http://schemas.openxmlformats.org/officeDocument/2006/relationships/hyperlink" Target="https://admin.microsoft.com/" TargetMode="External"/><Relationship Id="rId327" Type="http://schemas.openxmlformats.org/officeDocument/2006/relationships/hyperlink" Target="https://learn.microsoft.com/en-us/microsoft-365/compliance/data-classification-content-explorer?view=o365-worldwide" TargetMode="External"/><Relationship Id="rId369" Type="http://schemas.openxmlformats.org/officeDocument/2006/relationships/hyperlink" Target="https://entra.microsoft.com/" TargetMode="External"/><Relationship Id="rId534" Type="http://schemas.openxmlformats.org/officeDocument/2006/relationships/hyperlink" Target="https://docs.microsoft.com/en-us/microsoft-365/compliance/assign-ediscovery-permissions?view=o365-worldwide" TargetMode="External"/><Relationship Id="rId173" Type="http://schemas.openxmlformats.org/officeDocument/2006/relationships/hyperlink" Target="https://portal.azure.com/" TargetMode="External"/><Relationship Id="rId229" Type="http://schemas.openxmlformats.org/officeDocument/2006/relationships/hyperlink" Target="https://docs.microsoft.com/en-us/microsoft-365/compliance/create-test-tune-dlp-policy?view=o365-worldwide" TargetMode="External"/><Relationship Id="rId380" Type="http://schemas.openxmlformats.org/officeDocument/2006/relationships/hyperlink" Target="https://learn.microsoft.com/en-us/azure/active-directory/external-identities/tenant-restrictions-v2" TargetMode="External"/><Relationship Id="rId436" Type="http://schemas.openxmlformats.org/officeDocument/2006/relationships/hyperlink" Target="https://intune.microsoft.com/" TargetMode="External"/><Relationship Id="rId240" Type="http://schemas.openxmlformats.org/officeDocument/2006/relationships/hyperlink" Target="https://docs.microsoft.com/en-us/microsoft-365/security/defender/m365d-enable?view=o365-worldwide" TargetMode="External"/><Relationship Id="rId478" Type="http://schemas.openxmlformats.org/officeDocument/2006/relationships/hyperlink" Target="https://docs.microsoft.com/en-us/azure/defender-for-cloud/enhanced-security-features-overview" TargetMode="External"/><Relationship Id="rId35" Type="http://schemas.openxmlformats.org/officeDocument/2006/relationships/hyperlink" Target="https://docs.microsoft.com/en-us/azure/active-directory/roles/permissions-reference" TargetMode="External"/><Relationship Id="rId77" Type="http://schemas.openxmlformats.org/officeDocument/2006/relationships/hyperlink" Target="https://docs.microsoft.com/en-us/mem/intune/fundamentals/role-based-access-control" TargetMode="External"/><Relationship Id="rId100" Type="http://schemas.openxmlformats.org/officeDocument/2006/relationships/hyperlink" Target="https://docs.microsoft.com/en-us/exchange/permissions-exo/permissions-exo" TargetMode="External"/><Relationship Id="rId282" Type="http://schemas.openxmlformats.org/officeDocument/2006/relationships/hyperlink" Target="https://www.microsoft.com/en-gb/microsoft-365/windows/windows-autopilot" TargetMode="External"/><Relationship Id="rId338" Type="http://schemas.openxmlformats.org/officeDocument/2006/relationships/hyperlink" Target="https://portal.azure.com/" TargetMode="External"/><Relationship Id="rId503" Type="http://schemas.openxmlformats.org/officeDocument/2006/relationships/hyperlink" Target="https://purview.microsoft.com/" TargetMode="External"/><Relationship Id="rId545" Type="http://schemas.openxmlformats.org/officeDocument/2006/relationships/hyperlink" Target="https://learn.microsoft.com/en-us/microsoft-agent-365/" TargetMode="External"/><Relationship Id="rId8" Type="http://schemas.openxmlformats.org/officeDocument/2006/relationships/hyperlink" Target="https://docs.microsoft.com/en-us/azure/active-directory/authentication/howto-authentication-temporary-access-pass" TargetMode="External"/><Relationship Id="rId142" Type="http://schemas.openxmlformats.org/officeDocument/2006/relationships/hyperlink" Target="https://entra.microsoft.com/" TargetMode="External"/><Relationship Id="rId184" Type="http://schemas.openxmlformats.org/officeDocument/2006/relationships/hyperlink" Target="https://security.microsoft.com/" TargetMode="External"/><Relationship Id="rId391" Type="http://schemas.openxmlformats.org/officeDocument/2006/relationships/hyperlink" Target="https://docs.microsoft.com/en-gb/privacy/priva/priva-overview?culture=en-gb&amp;country=GB" TargetMode="External"/><Relationship Id="rId405" Type="http://schemas.openxmlformats.org/officeDocument/2006/relationships/hyperlink" Target="https://learn.microsoft.com/en-us/entra/global-secure-access/how-to-universal-tenant-restrictions" TargetMode="External"/><Relationship Id="rId447" Type="http://schemas.openxmlformats.org/officeDocument/2006/relationships/hyperlink" Target="https://intune.microsoft.com/" TargetMode="External"/><Relationship Id="rId251" Type="http://schemas.openxmlformats.org/officeDocument/2006/relationships/hyperlink" Target="https://techcommunity.microsoft.com/t5/microsoft-defender-for-office/mastering-configuration-in-defender-for-office-365-part-one/ba-p/2300064" TargetMode="External"/><Relationship Id="rId489" Type="http://schemas.openxmlformats.org/officeDocument/2006/relationships/hyperlink" Target="https://security.microsoft.com/" TargetMode="External"/><Relationship Id="rId46" Type="http://schemas.openxmlformats.org/officeDocument/2006/relationships/hyperlink" Target="https://docs.microsoft.com/en-us/azure/active-directory/roles/permissions-reference" TargetMode="External"/><Relationship Id="rId293" Type="http://schemas.openxmlformats.org/officeDocument/2006/relationships/hyperlink" Target="https://docs.microsoft.com/en-us/mem/intune/protect/security-baselines" TargetMode="External"/><Relationship Id="rId307" Type="http://schemas.openxmlformats.org/officeDocument/2006/relationships/hyperlink" Target="https://docs.microsoft.com/en-us/azure/defender-for-cloud/deploy-vulnerability-assessment-tvm" TargetMode="External"/><Relationship Id="rId349" Type="http://schemas.openxmlformats.org/officeDocument/2006/relationships/hyperlink" Target="https://learn.microsoft.com/en-us/mem/intune/protect/microsoft-tunnel-mam" TargetMode="External"/><Relationship Id="rId514" Type="http://schemas.openxmlformats.org/officeDocument/2006/relationships/hyperlink" Target="https://purview.microsoft.com/" TargetMode="External"/><Relationship Id="rId556" Type="http://schemas.openxmlformats.org/officeDocument/2006/relationships/hyperlink" Target="https://entra.microsoft.com/" TargetMode="External"/><Relationship Id="rId88" Type="http://schemas.openxmlformats.org/officeDocument/2006/relationships/hyperlink" Target="https://docs.microsoft.com/en-us/azure/defender-for-cloud/enhanced-security-features-overview" TargetMode="External"/><Relationship Id="rId111" Type="http://schemas.openxmlformats.org/officeDocument/2006/relationships/hyperlink" Target="https://docs.microsoft.com/en-us/microsoft-365/compliance/sit-get-started-exact-data-match-based-sits-overview?view=o365-worldwide" TargetMode="External"/><Relationship Id="rId153" Type="http://schemas.openxmlformats.org/officeDocument/2006/relationships/hyperlink" Target="https://entra.microsoft.com/" TargetMode="External"/><Relationship Id="rId195" Type="http://schemas.openxmlformats.org/officeDocument/2006/relationships/hyperlink" Target="https://docs.microsoft.com/en-us/microsoft-365/compliance/communication-compliance-configure?view=o365-worldwide" TargetMode="External"/><Relationship Id="rId209" Type="http://schemas.openxmlformats.org/officeDocument/2006/relationships/hyperlink" Target="https://docs.microsoft.com/en-us/azure/firewall/tutorial-firewall-deploy-portal" TargetMode="External"/><Relationship Id="rId360" Type="http://schemas.openxmlformats.org/officeDocument/2006/relationships/hyperlink" Target="https://learn.microsoft.com/en-gb/microsoft-365/security/defender-vulnerability-management/tvm-prerequisites?view=o365-worldwide" TargetMode="External"/><Relationship Id="rId416" Type="http://schemas.openxmlformats.org/officeDocument/2006/relationships/hyperlink" Target="https://entra.microsoft.com/" TargetMode="External"/><Relationship Id="rId220" Type="http://schemas.openxmlformats.org/officeDocument/2006/relationships/hyperlink" Target="https://docs.microsoft.com/en-us/azure/active-directory/identity-protection/howto-identity-protection-investigate-risk" TargetMode="External"/><Relationship Id="rId458" Type="http://schemas.openxmlformats.org/officeDocument/2006/relationships/hyperlink" Target="https://intune.microsoft.com/" TargetMode="External"/><Relationship Id="rId15" Type="http://schemas.openxmlformats.org/officeDocument/2006/relationships/hyperlink" Target="https://docs.microsoft.com/en-us/azure/active-directory/conditional-access/plan-conditional-access" TargetMode="External"/><Relationship Id="rId57" Type="http://schemas.openxmlformats.org/officeDocument/2006/relationships/hyperlink" Target="https://docs.microsoft.com/en-us/mem/intune/fundamentals/role-based-access-control" TargetMode="External"/><Relationship Id="rId262" Type="http://schemas.openxmlformats.org/officeDocument/2006/relationships/hyperlink" Target="https://docs.microsoft.com/en-us/microsoft-365/security/defender-endpoint/ios-install?view=o365-worldwide" TargetMode="External"/><Relationship Id="rId318" Type="http://schemas.openxmlformats.org/officeDocument/2006/relationships/hyperlink" Target="https://learn.microsoft.com/en-us/azure/active-directory/external-identities/what-is-b2b" TargetMode="External"/><Relationship Id="rId525" Type="http://schemas.openxmlformats.org/officeDocument/2006/relationships/hyperlink" Target="https://purview.microsoft.com/" TargetMode="External"/><Relationship Id="rId567" Type="http://schemas.openxmlformats.org/officeDocument/2006/relationships/vmlDrawing" Target="../drawings/vmlDrawing1.vml"/><Relationship Id="rId99" Type="http://schemas.openxmlformats.org/officeDocument/2006/relationships/hyperlink" Target="https://docs.microsoft.com/en-us/exchange/permissions-exo/permissions-exo" TargetMode="External"/><Relationship Id="rId122" Type="http://schemas.openxmlformats.org/officeDocument/2006/relationships/hyperlink" Target="https://docs.microsoft.com/en-us/azure/purview/catalog-permissions" TargetMode="External"/><Relationship Id="rId164" Type="http://schemas.openxmlformats.org/officeDocument/2006/relationships/hyperlink" Target="https://portal.azure.com/" TargetMode="External"/><Relationship Id="rId371" Type="http://schemas.openxmlformats.org/officeDocument/2006/relationships/hyperlink" Target="https://learn.microsoft.com/en-us/azure/global-secure-access/how-to-configure-per-app-access" TargetMode="External"/><Relationship Id="rId427" Type="http://schemas.openxmlformats.org/officeDocument/2006/relationships/hyperlink" Target="https://go.microsoft.com/fwlink/?linkid=2248574" TargetMode="External"/><Relationship Id="rId469" Type="http://schemas.openxmlformats.org/officeDocument/2006/relationships/hyperlink" Target="https://docs.microsoft.com/en-us/mem/intune/fundamentals/role-based-access-control" TargetMode="External"/><Relationship Id="rId26" Type="http://schemas.openxmlformats.org/officeDocument/2006/relationships/hyperlink" Target="https://docs.microsoft.com/en-us/sharepoint/sharepoint-admin-role" TargetMode="External"/><Relationship Id="rId231" Type="http://schemas.openxmlformats.org/officeDocument/2006/relationships/hyperlink" Target="https://docs.microsoft.com/en-us/sharepoint/turn-external-sharing-on-or-off" TargetMode="External"/><Relationship Id="rId273" Type="http://schemas.openxmlformats.org/officeDocument/2006/relationships/hyperlink" Target="https://docs.microsoft.com/en-us/windows/security/information-protection/bitlocker/bitlocker-management-for-enterprises" TargetMode="External"/><Relationship Id="rId329" Type="http://schemas.openxmlformats.org/officeDocument/2006/relationships/hyperlink" Target="https://security.microsoft.com/" TargetMode="External"/><Relationship Id="rId480" Type="http://schemas.openxmlformats.org/officeDocument/2006/relationships/hyperlink" Target="https://docs.microsoft.com/en-us/azure/defender-for-cloud/enhanced-security-features-overview" TargetMode="External"/><Relationship Id="rId536" Type="http://schemas.openxmlformats.org/officeDocument/2006/relationships/hyperlink" Target="https://docs.microsoft.com/en-us/microsoft-365/compliance/assign-ediscovery-permissions?view=o365-worldwide" TargetMode="External"/><Relationship Id="rId68" Type="http://schemas.openxmlformats.org/officeDocument/2006/relationships/hyperlink" Target="https://docs.microsoft.com/en-us/mem/intune/fundamentals/role-based-access-control" TargetMode="External"/><Relationship Id="rId133" Type="http://schemas.openxmlformats.org/officeDocument/2006/relationships/hyperlink" Target="https://entra.microsoft.com/" TargetMode="External"/><Relationship Id="rId175" Type="http://schemas.openxmlformats.org/officeDocument/2006/relationships/hyperlink" Target="https://portal.azure.com/" TargetMode="External"/><Relationship Id="rId340" Type="http://schemas.openxmlformats.org/officeDocument/2006/relationships/hyperlink" Target="https://docs.microsoft.com/en-us/azure/defender-for-cloud/enhanced-security-features-overview" TargetMode="External"/><Relationship Id="rId200" Type="http://schemas.openxmlformats.org/officeDocument/2006/relationships/hyperlink" Target="https://learn.microsoft.com/en-us/purview/archive-third-party-data" TargetMode="External"/><Relationship Id="rId382" Type="http://schemas.openxmlformats.org/officeDocument/2006/relationships/hyperlink" Target="https://entra.microsoft.com/" TargetMode="External"/><Relationship Id="rId438" Type="http://schemas.openxmlformats.org/officeDocument/2006/relationships/hyperlink" Target="https://intune.microsoft.com/" TargetMode="External"/><Relationship Id="rId242" Type="http://schemas.openxmlformats.org/officeDocument/2006/relationships/hyperlink" Target="https://docs.microsoft.com/en-us/defender-for-identity/" TargetMode="External"/><Relationship Id="rId284" Type="http://schemas.openxmlformats.org/officeDocument/2006/relationships/hyperlink" Target="https://docs.microsoft.com/en-us/mem/intune/configuration/device-profiles" TargetMode="External"/><Relationship Id="rId491" Type="http://schemas.openxmlformats.org/officeDocument/2006/relationships/hyperlink" Target="https://docs.microsoft.com/en-us/microsoft-365/security/office-365-security/permissions-microsoft-365-security-center?view=o365-worldwide" TargetMode="External"/><Relationship Id="rId505" Type="http://schemas.openxmlformats.org/officeDocument/2006/relationships/hyperlink" Target="https://purview.microsoft.com/" TargetMode="External"/><Relationship Id="rId37" Type="http://schemas.openxmlformats.org/officeDocument/2006/relationships/hyperlink" Target="https://docs.microsoft.com/en-us/azure/defender-for-cloud/permissions" TargetMode="External"/><Relationship Id="rId79" Type="http://schemas.openxmlformats.org/officeDocument/2006/relationships/hyperlink" Target="https://docs.microsoft.com/en-us/microsoft-365/security/defender-endpoint/prepare-deployment?view=o365-worldwide" TargetMode="External"/><Relationship Id="rId102" Type="http://schemas.openxmlformats.org/officeDocument/2006/relationships/hyperlink" Target="https://docs.microsoft.com/en-us/MicrosoftTeams/using-admin-roles" TargetMode="External"/><Relationship Id="rId144" Type="http://schemas.openxmlformats.org/officeDocument/2006/relationships/hyperlink" Target="https://entra.microsoft.com/" TargetMode="External"/><Relationship Id="rId547" Type="http://schemas.openxmlformats.org/officeDocument/2006/relationships/hyperlink" Target="https://admin.microsoft.com/" TargetMode="External"/><Relationship Id="rId90" Type="http://schemas.openxmlformats.org/officeDocument/2006/relationships/hyperlink" Target="https://docs.microsoft.com/en-us/azure/defender-for-cloud/enhanced-security-features-overview" TargetMode="External"/><Relationship Id="rId186" Type="http://schemas.openxmlformats.org/officeDocument/2006/relationships/hyperlink" Target="https://security.microsoft.com/" TargetMode="External"/><Relationship Id="rId351" Type="http://schemas.openxmlformats.org/officeDocument/2006/relationships/hyperlink" Target="https://learn.microsoft.com/en-us/mem/analytics/overview" TargetMode="External"/><Relationship Id="rId393" Type="http://schemas.openxmlformats.org/officeDocument/2006/relationships/hyperlink" Target="https://learn.microsoft.com/en-us/purview/add-your-organization-brand-to-encrypted-messages" TargetMode="External"/><Relationship Id="rId407" Type="http://schemas.openxmlformats.org/officeDocument/2006/relationships/hyperlink" Target="https://learn.microsoft.com/en-us/entra/global-secure-access/how-to-view-traffic-logs" TargetMode="External"/><Relationship Id="rId449" Type="http://schemas.openxmlformats.org/officeDocument/2006/relationships/hyperlink" Target="https://intune.microsoft.com/" TargetMode="External"/><Relationship Id="rId211" Type="http://schemas.openxmlformats.org/officeDocument/2006/relationships/hyperlink" Target="https://docs.microsoft.com/en-us/azure/ddos-protection/manage-ddos-protection" TargetMode="External"/><Relationship Id="rId253" Type="http://schemas.openxmlformats.org/officeDocument/2006/relationships/hyperlink" Target="https://docs.microsoft.com/en-gb/azure/security-center/defender-for-databases-introduction" TargetMode="External"/><Relationship Id="rId295" Type="http://schemas.openxmlformats.org/officeDocument/2006/relationships/hyperlink" Target="https://docs.microsoft.com/en-us/azure/active-directory/governance/create-access-review" TargetMode="External"/><Relationship Id="rId309" Type="http://schemas.openxmlformats.org/officeDocument/2006/relationships/hyperlink" Target="https://security.microsoft.com/" TargetMode="External"/><Relationship Id="rId460" Type="http://schemas.openxmlformats.org/officeDocument/2006/relationships/hyperlink" Target="https://intune.microsoft.com/" TargetMode="External"/><Relationship Id="rId516" Type="http://schemas.openxmlformats.org/officeDocument/2006/relationships/hyperlink" Target="https://purview.microsoft.com/" TargetMode="External"/><Relationship Id="rId48" Type="http://schemas.openxmlformats.org/officeDocument/2006/relationships/hyperlink" Target="https://docs.microsoft.com/en-us/azure/active-directory/roles/permissions-reference" TargetMode="External"/><Relationship Id="rId113" Type="http://schemas.openxmlformats.org/officeDocument/2006/relationships/hyperlink" Target="https://docs.microsoft.com/en-us/azure/active-directory/roles/permissions-reference" TargetMode="External"/><Relationship Id="rId320" Type="http://schemas.openxmlformats.org/officeDocument/2006/relationships/hyperlink" Target="https://entra.microsoft.com/" TargetMode="External"/><Relationship Id="rId558" Type="http://schemas.openxmlformats.org/officeDocument/2006/relationships/hyperlink" Target="https://entra.microsoft.com/" TargetMode="External"/><Relationship Id="rId155" Type="http://schemas.openxmlformats.org/officeDocument/2006/relationships/hyperlink" Target="https://security.microsoft.com/" TargetMode="External"/><Relationship Id="rId197" Type="http://schemas.openxmlformats.org/officeDocument/2006/relationships/hyperlink" Target="https://docs.microsoft.com/en-us/microsoft-365/compliance/customer-key-overview?view=o365-worldwide" TargetMode="External"/><Relationship Id="rId362" Type="http://schemas.openxmlformats.org/officeDocument/2006/relationships/hyperlink" Target="https://techcommunity.microsoft.com/t5/microsoft-entra-azure-ad-blog/introducing-windows-local-administrator-password-solution-with/ba-p/1942487" TargetMode="External"/><Relationship Id="rId418" Type="http://schemas.openxmlformats.org/officeDocument/2006/relationships/hyperlink" Target="https://entra.microsoft.com/" TargetMode="External"/><Relationship Id="rId222" Type="http://schemas.openxmlformats.org/officeDocument/2006/relationships/hyperlink" Target="https://docs.microsoft.com/en-us/microsoft-365/compliance/get-started-with-advanced-ediscovery?view=o365-worldwide" TargetMode="External"/><Relationship Id="rId264" Type="http://schemas.openxmlformats.org/officeDocument/2006/relationships/hyperlink" Target="https://docs.microsoft.com/en-us/microsoft-365/security/defender-endpoint/microsoft-defender-endpoint-mac?view=o365-worldwide" TargetMode="External"/><Relationship Id="rId471" Type="http://schemas.openxmlformats.org/officeDocument/2006/relationships/hyperlink" Target="https://learn.microsoft.com/en-us/mem/analytics/overview" TargetMode="External"/><Relationship Id="rId17" Type="http://schemas.openxmlformats.org/officeDocument/2006/relationships/hyperlink" Target="https://docs.microsoft.com/en-us/cloud-app-security/proxy-intro-aad" TargetMode="External"/><Relationship Id="rId59" Type="http://schemas.openxmlformats.org/officeDocument/2006/relationships/hyperlink" Target="https://docs.microsoft.com/en-us/mem/configmgr/comanage/overview" TargetMode="External"/><Relationship Id="rId124" Type="http://schemas.openxmlformats.org/officeDocument/2006/relationships/hyperlink" Target="https://docs.microsoft.com/en-us/azure/governance/policy/overview" TargetMode="External"/><Relationship Id="rId527" Type="http://schemas.openxmlformats.org/officeDocument/2006/relationships/hyperlink" Target="https://purview.microsoft.com/" TargetMode="External"/><Relationship Id="rId70" Type="http://schemas.openxmlformats.org/officeDocument/2006/relationships/hyperlink" Target="https://docs.microsoft.com/en-us/mem/intune/fundamentals/role-based-access-control" TargetMode="External"/><Relationship Id="rId166" Type="http://schemas.openxmlformats.org/officeDocument/2006/relationships/hyperlink" Target="https://portal.azure.com/" TargetMode="External"/><Relationship Id="rId331" Type="http://schemas.openxmlformats.org/officeDocument/2006/relationships/hyperlink" Target="https://security.microsoft.com/" TargetMode="External"/><Relationship Id="rId373" Type="http://schemas.openxmlformats.org/officeDocument/2006/relationships/hyperlink" Target="https://entra.microsoft.com/" TargetMode="External"/><Relationship Id="rId429" Type="http://schemas.openxmlformats.org/officeDocument/2006/relationships/hyperlink" Target="https://learn.microsoft.com/en-us/azure/active-directory/roles/permissions-reference" TargetMode="External"/><Relationship Id="rId1" Type="http://schemas.openxmlformats.org/officeDocument/2006/relationships/hyperlink" Target="https://docs.microsoft.com/en-us/azure/active-directory/hybrid/how-to-connect-install-select-installation" TargetMode="External"/><Relationship Id="rId233" Type="http://schemas.openxmlformats.org/officeDocument/2006/relationships/hyperlink" Target="https://docs.microsoft.com/en-us/microsoft-365/compliance/sensitive-information-type-learn-about?view=o365-worldwide" TargetMode="External"/><Relationship Id="rId440" Type="http://schemas.openxmlformats.org/officeDocument/2006/relationships/hyperlink" Target="https://intune.microsoft.com/" TargetMode="External"/><Relationship Id="rId28" Type="http://schemas.openxmlformats.org/officeDocument/2006/relationships/hyperlink" Target="https://docs.microsoft.com/en-us/azure/active-directory/manage-apps/configure-user-consent?tabs=azure-portal" TargetMode="External"/><Relationship Id="rId275" Type="http://schemas.openxmlformats.org/officeDocument/2006/relationships/hyperlink" Target="https://docs.microsoft.com/en-us/mem/configmgr/protect/deploy-use/create-deploy-exploit-guard-policy" TargetMode="External"/><Relationship Id="rId300" Type="http://schemas.openxmlformats.org/officeDocument/2006/relationships/hyperlink" Target="https://docs.microsoft.com/en-us/azure/active-directory/saas-apps/tutorial-list" TargetMode="External"/><Relationship Id="rId482" Type="http://schemas.openxmlformats.org/officeDocument/2006/relationships/hyperlink" Target="https://docs.microsoft.com/en-us/azure/defender-for-cloud/enhanced-security-features-overview" TargetMode="External"/><Relationship Id="rId538" Type="http://schemas.openxmlformats.org/officeDocument/2006/relationships/hyperlink" Target="https://learn.microsoft.com/en-us/microsoft-365/compliance/customer-key-set-up?view=o365-worldwide" TargetMode="External"/><Relationship Id="rId81" Type="http://schemas.openxmlformats.org/officeDocument/2006/relationships/hyperlink" Target="https://docs.microsoft.com/en-us/microsoft-365/security/defender-endpoint/prepare-deployment?view=o365-worldwide" TargetMode="External"/><Relationship Id="rId135" Type="http://schemas.openxmlformats.org/officeDocument/2006/relationships/hyperlink" Target="https://entra.microsoft.com/" TargetMode="External"/><Relationship Id="rId177" Type="http://schemas.openxmlformats.org/officeDocument/2006/relationships/hyperlink" Target="https://portal.azure.com/" TargetMode="External"/><Relationship Id="rId342" Type="http://schemas.openxmlformats.org/officeDocument/2006/relationships/hyperlink" Target="https://learn.microsoft.com/en-us/azure/active-directory/conditional-access/concept-conditional-access-cloud-apps" TargetMode="External"/><Relationship Id="rId384" Type="http://schemas.openxmlformats.org/officeDocument/2006/relationships/hyperlink" Target="https://learn.microsoft.com/en-us/azure/active-directory/governance/entitlement-management-delegate" TargetMode="External"/><Relationship Id="rId202" Type="http://schemas.openxmlformats.org/officeDocument/2006/relationships/hyperlink" Target="https://docs.microsoft.com/en-us/azure/purview/how-to-search-catalog" TargetMode="External"/><Relationship Id="rId244" Type="http://schemas.openxmlformats.org/officeDocument/2006/relationships/hyperlink" Target="https://docs.microsoft.com/en-us/microsoftteams/manage-external-access" TargetMode="External"/><Relationship Id="rId39" Type="http://schemas.openxmlformats.org/officeDocument/2006/relationships/hyperlink" Target="https://docs.microsoft.com/en-us/azure/active-directory/roles/delegate-by-task" TargetMode="External"/><Relationship Id="rId286" Type="http://schemas.openxmlformats.org/officeDocument/2006/relationships/hyperlink" Target="https://docs.microsoft.com/en-us/mem/intune/apps/apps-add" TargetMode="External"/><Relationship Id="rId451" Type="http://schemas.openxmlformats.org/officeDocument/2006/relationships/hyperlink" Target="https://intune.microsoft.com/" TargetMode="External"/><Relationship Id="rId493" Type="http://schemas.openxmlformats.org/officeDocument/2006/relationships/hyperlink" Target="https://purview.microsoft.com/" TargetMode="External"/><Relationship Id="rId507" Type="http://schemas.openxmlformats.org/officeDocument/2006/relationships/hyperlink" Target="https://purview.microsoft.com/" TargetMode="External"/><Relationship Id="rId549" Type="http://schemas.openxmlformats.org/officeDocument/2006/relationships/hyperlink" Target="https://securitycopilot.microsoft.com/" TargetMode="External"/><Relationship Id="rId50" Type="http://schemas.openxmlformats.org/officeDocument/2006/relationships/hyperlink" Target="https://docs.microsoft.com/en-us/azure/active-directory/enterprise-users/groups-self-service-management" TargetMode="External"/><Relationship Id="rId104" Type="http://schemas.openxmlformats.org/officeDocument/2006/relationships/hyperlink" Target="https://docs.microsoft.com/en-us/defender-for-identity/role-groups" TargetMode="External"/><Relationship Id="rId146" Type="http://schemas.openxmlformats.org/officeDocument/2006/relationships/hyperlink" Target="https://admin.microsoft.com/" TargetMode="External"/><Relationship Id="rId188" Type="http://schemas.openxmlformats.org/officeDocument/2006/relationships/hyperlink" Target="https://admin.microsoft.com/" TargetMode="External"/><Relationship Id="rId311" Type="http://schemas.openxmlformats.org/officeDocument/2006/relationships/hyperlink" Target="https://learn.microsoft.com/en-us/azure/external-attack-surface-management/deploying-the-defender-easm-azure-resource" TargetMode="External"/><Relationship Id="rId353" Type="http://schemas.openxmlformats.org/officeDocument/2006/relationships/hyperlink" Target="https://techcommunity.microsoft.com/t5/microsoft-intune-blog/enable-windows-standard-users-with-endpoint-privilege-management/ba-p/3755710" TargetMode="External"/><Relationship Id="rId395" Type="http://schemas.openxmlformats.org/officeDocument/2006/relationships/hyperlink" Target="https://learn.microsoft.com/en-us/exchange/permissions-exo/feature-permissions" TargetMode="External"/><Relationship Id="rId409" Type="http://schemas.openxmlformats.org/officeDocument/2006/relationships/hyperlink" Target="https://learn.microsoft.com/en-us/entra/global-secure-access/how-to-configure-web-content-filtering" TargetMode="External"/><Relationship Id="rId560" Type="http://schemas.openxmlformats.org/officeDocument/2006/relationships/hyperlink" Target="https://entra.microsoft.com/" TargetMode="External"/><Relationship Id="rId92" Type="http://schemas.openxmlformats.org/officeDocument/2006/relationships/hyperlink" Target="https://docs.microsoft.com/en-us/azure/defender-for-cloud/enhanced-security-features-overview" TargetMode="External"/><Relationship Id="rId213" Type="http://schemas.openxmlformats.org/officeDocument/2006/relationships/hyperlink" Target="https://docs.microsoft.com/en-us/microsoft-365/compliance/endpoint-dlp-getting-started?view=o365-worldwide" TargetMode="External"/><Relationship Id="rId420" Type="http://schemas.openxmlformats.org/officeDocument/2006/relationships/hyperlink" Target="https://docs.microsoft.com/en-us/azure/active-directory/roles/delegate-by-task" TargetMode="External"/><Relationship Id="rId255" Type="http://schemas.openxmlformats.org/officeDocument/2006/relationships/hyperlink" Target="https://docs.microsoft.com/en-gb/azure/security-center/defender-for-resource-manager-introduction" TargetMode="External"/><Relationship Id="rId297" Type="http://schemas.openxmlformats.org/officeDocument/2006/relationships/hyperlink" Target="https://docs.microsoft.com/en-us/azure/active-directory/enterprise-users/groups-self-service-management" TargetMode="External"/><Relationship Id="rId462" Type="http://schemas.openxmlformats.org/officeDocument/2006/relationships/hyperlink" Target="https://intune.microsoft.com/" TargetMode="External"/><Relationship Id="rId518" Type="http://schemas.openxmlformats.org/officeDocument/2006/relationships/hyperlink" Target="https://purview.microsoft.com/" TargetMode="External"/><Relationship Id="rId115" Type="http://schemas.openxmlformats.org/officeDocument/2006/relationships/hyperlink" Target="https://docs.microsoft.com/en-us/sharepoint/turn-external-sharing-on-or-off" TargetMode="External"/><Relationship Id="rId157" Type="http://schemas.openxmlformats.org/officeDocument/2006/relationships/hyperlink" Target="https://security.microsoft.com/" TargetMode="External"/><Relationship Id="rId322" Type="http://schemas.openxmlformats.org/officeDocument/2006/relationships/hyperlink" Target="https://entra.microsoft.com/" TargetMode="External"/><Relationship Id="rId364" Type="http://schemas.openxmlformats.org/officeDocument/2006/relationships/hyperlink" Target="https://docs.microsoft.com/en-us/microsoft-365/security/defender-endpoint/rbac?view=o365-worldwide" TargetMode="External"/><Relationship Id="rId61" Type="http://schemas.openxmlformats.org/officeDocument/2006/relationships/hyperlink" Target="https://docs.microsoft.com/en-us/mem/configmgr/comanage/overview" TargetMode="External"/><Relationship Id="rId199" Type="http://schemas.openxmlformats.org/officeDocument/2006/relationships/hyperlink" Target="https://docs.microsoft.com/en-gb/azure/azure-monitor/" TargetMode="External"/><Relationship Id="rId19" Type="http://schemas.openxmlformats.org/officeDocument/2006/relationships/hyperlink" Target="https://docs.microsoft.com/en-us/azure/active-directory/privileged-identity-management/pim-configure" TargetMode="External"/><Relationship Id="rId224" Type="http://schemas.openxmlformats.org/officeDocument/2006/relationships/hyperlink" Target="https://docs.microsoft.com/en-us/microsoft-365/compliance/get-started-core-ediscovery?view=o365-worldwide" TargetMode="External"/><Relationship Id="rId266" Type="http://schemas.openxmlformats.org/officeDocument/2006/relationships/hyperlink" Target="https://techcommunity.microsoft.com/t5/windows-it-pro-blog/get-started-with-windows-365-enterprise/ba-p/2530504?WT.mc_id=modinfra-35960-abartolo" TargetMode="External"/><Relationship Id="rId431" Type="http://schemas.openxmlformats.org/officeDocument/2006/relationships/hyperlink" Target="https://learn.microsoft.com/en-us/lifecycle/products/microsoft-identity-manager-2016" TargetMode="External"/><Relationship Id="rId473" Type="http://schemas.openxmlformats.org/officeDocument/2006/relationships/hyperlink" Target="https://docs.microsoft.com/en-us/azure/active-directory/roles/delegate-by-task" TargetMode="External"/><Relationship Id="rId529" Type="http://schemas.openxmlformats.org/officeDocument/2006/relationships/hyperlink" Target="https://purview.microsoft.com/" TargetMode="External"/><Relationship Id="rId30" Type="http://schemas.openxmlformats.org/officeDocument/2006/relationships/hyperlink" Target="https://docs.microsoft.com/en-us/azure/active-directory/roles/permissions-reference" TargetMode="External"/><Relationship Id="rId126" Type="http://schemas.openxmlformats.org/officeDocument/2006/relationships/hyperlink" Target="https://docs.microsoft.com/en-us/microsoft-365/compliance/assign-ediscovery-permissions?view=o365-worldwide" TargetMode="External"/><Relationship Id="rId168" Type="http://schemas.openxmlformats.org/officeDocument/2006/relationships/hyperlink" Target="https://portal.azure.com/" TargetMode="External"/><Relationship Id="rId333" Type="http://schemas.openxmlformats.org/officeDocument/2006/relationships/hyperlink" Target="https://learn.microsoft.com/en-us/microsoft-365/security/office-365-security/permissions-in-the-security-and-compliance-center?view=o365-worldwide" TargetMode="External"/><Relationship Id="rId540" Type="http://schemas.openxmlformats.org/officeDocument/2006/relationships/hyperlink" Target="https://learn.microsoft.com/purview/ai-microsoft-purview" TargetMode="External"/><Relationship Id="rId72" Type="http://schemas.openxmlformats.org/officeDocument/2006/relationships/hyperlink" Target="https://docs.microsoft.com/en-us/mem/intune/fundamentals/role-based-access-control" TargetMode="External"/><Relationship Id="rId375" Type="http://schemas.openxmlformats.org/officeDocument/2006/relationships/hyperlink" Target="https://learn.microsoft.com/en-us/azure/global-secure-access/concept-remote-network-connectivity" TargetMode="External"/><Relationship Id="rId3" Type="http://schemas.openxmlformats.org/officeDocument/2006/relationships/hyperlink" Target="https://docs.microsoft.com/en-us/learn/modules/deploy-microsoft-365-apps-for-enterprise/" TargetMode="External"/><Relationship Id="rId235" Type="http://schemas.openxmlformats.org/officeDocument/2006/relationships/hyperlink" Target="https://docs.microsoft.com/en-us/microsoft-365/compliance/sit-get-started-exact-data-match-based-sits-overview?view=o365-worldwide" TargetMode="External"/><Relationship Id="rId277" Type="http://schemas.openxmlformats.org/officeDocument/2006/relationships/hyperlink" Target="https://docs.microsoft.com/en-us/windows/security/identity-protection/credential-guard/credential-guard-manage" TargetMode="External"/><Relationship Id="rId400" Type="http://schemas.openxmlformats.org/officeDocument/2006/relationships/hyperlink" Target="https://learn.microsoft.com/en-us/microsoft-365/security/office-365-security/scc-permissions?view=o365-worldwide" TargetMode="External"/><Relationship Id="rId442" Type="http://schemas.openxmlformats.org/officeDocument/2006/relationships/hyperlink" Target="https://intune.microsoft.com/" TargetMode="External"/><Relationship Id="rId484" Type="http://schemas.openxmlformats.org/officeDocument/2006/relationships/hyperlink" Target="https://learn.microsoft.com/en-us/defender-office-365/app-guard-for-office-install" TargetMode="External"/><Relationship Id="rId137" Type="http://schemas.openxmlformats.org/officeDocument/2006/relationships/hyperlink" Target="https://entra.microsoft.com/" TargetMode="External"/><Relationship Id="rId302" Type="http://schemas.openxmlformats.org/officeDocument/2006/relationships/hyperlink" Target="https://docs.microsoft.com/en-us/azure/active-directory/app-proxy/application-proxy-config-how-to" TargetMode="External"/><Relationship Id="rId344" Type="http://schemas.openxmlformats.org/officeDocument/2006/relationships/hyperlink" Target="https://learn.microsoft.com/en-us/windows-hardware/customize/enterprise/uwf-turnonuwf" TargetMode="External"/><Relationship Id="rId41" Type="http://schemas.openxmlformats.org/officeDocument/2006/relationships/hyperlink" Target="https://docs.microsoft.com/en-us/azure/active-directory/roles/delegate-by-task" TargetMode="External"/><Relationship Id="rId83" Type="http://schemas.openxmlformats.org/officeDocument/2006/relationships/hyperlink" Target="https://docs.microsoft.com/en-us/microsoft-365/security/defender-endpoint/prepare-deployment?view=o365-worldwide" TargetMode="External"/><Relationship Id="rId179" Type="http://schemas.openxmlformats.org/officeDocument/2006/relationships/hyperlink" Target="https://portal.azure.com/" TargetMode="External"/><Relationship Id="rId386" Type="http://schemas.openxmlformats.org/officeDocument/2006/relationships/hyperlink" Target="https://learn.microsoft.com/en-us/entra/identity/conditional-access/concept-conditional-access-cloud-apps" TargetMode="External"/><Relationship Id="rId551" Type="http://schemas.openxmlformats.org/officeDocument/2006/relationships/hyperlink" Target="https://entra.microsoft.com/" TargetMode="External"/><Relationship Id="rId190" Type="http://schemas.openxmlformats.org/officeDocument/2006/relationships/hyperlink" Target="https://security.microsoft.com/" TargetMode="External"/><Relationship Id="rId204" Type="http://schemas.openxmlformats.org/officeDocument/2006/relationships/hyperlink" Target="https://docs.microsoft.com/en-gb/azure/security-center/defender-for-servers-introduction" TargetMode="External"/><Relationship Id="rId246" Type="http://schemas.openxmlformats.org/officeDocument/2006/relationships/hyperlink" Target="https://docs.microsoft.com/en-us/microsoft-365/security/office-365-security/external-email-forwarding?view=o365-worldwide" TargetMode="External"/><Relationship Id="rId288" Type="http://schemas.openxmlformats.org/officeDocument/2006/relationships/hyperlink" Target="https://docs.microsoft.com/en-us/mem/configmgr/core/clients/manage/cmg/plan-cloud-management-gateway" TargetMode="External"/><Relationship Id="rId411" Type="http://schemas.openxmlformats.org/officeDocument/2006/relationships/hyperlink" Target="https://entra.microsoft.com/" TargetMode="External"/><Relationship Id="rId453" Type="http://schemas.openxmlformats.org/officeDocument/2006/relationships/hyperlink" Target="https://intune.microsoft.com/" TargetMode="External"/><Relationship Id="rId509" Type="http://schemas.openxmlformats.org/officeDocument/2006/relationships/hyperlink" Target="https://purview.microsoft.com/" TargetMode="External"/><Relationship Id="rId106" Type="http://schemas.openxmlformats.org/officeDocument/2006/relationships/hyperlink" Target="https://docs.microsoft.com/en-us/azure/sentinel/roles" TargetMode="External"/><Relationship Id="rId313" Type="http://schemas.openxmlformats.org/officeDocument/2006/relationships/hyperlink" Target="https://docs.microsoft.com/en-us/microsoft-365/security/defender-endpoint/rbac?view=o365-worldwide" TargetMode="External"/><Relationship Id="rId495" Type="http://schemas.openxmlformats.org/officeDocument/2006/relationships/hyperlink" Target="https://purview.microsoft.com/" TargetMode="External"/><Relationship Id="rId10" Type="http://schemas.openxmlformats.org/officeDocument/2006/relationships/hyperlink" Target="https://learn.microsoft.com/en-us/entra/identity/conditional-access/concept-conditional-access-cloud-apps" TargetMode="External"/><Relationship Id="rId52" Type="http://schemas.openxmlformats.org/officeDocument/2006/relationships/hyperlink" Target="https://docs.microsoft.com/en-us/azure/active-directory/governance/deploy-access-reviews" TargetMode="External"/><Relationship Id="rId94" Type="http://schemas.openxmlformats.org/officeDocument/2006/relationships/hyperlink" Target="https://docs.microsoft.com/en-us/microsoft-365/security/office-365-security/defender-for-office-365?view=o365-worldwide" TargetMode="External"/><Relationship Id="rId148" Type="http://schemas.openxmlformats.org/officeDocument/2006/relationships/hyperlink" Target="https://entra.microsoft.com/" TargetMode="External"/><Relationship Id="rId355" Type="http://schemas.openxmlformats.org/officeDocument/2006/relationships/hyperlink" Target="https://learn.microsoft.com/en-us/azure/active-directory/devices/howto-hybrid-azure-ad-join" TargetMode="External"/><Relationship Id="rId397" Type="http://schemas.openxmlformats.org/officeDocument/2006/relationships/hyperlink" Target="https://learn.microsoft.com/en-us/purview/dlp-osp-get-started" TargetMode="External"/><Relationship Id="rId520" Type="http://schemas.openxmlformats.org/officeDocument/2006/relationships/hyperlink" Target="https://purview.microsoft.com/" TargetMode="External"/><Relationship Id="rId562" Type="http://schemas.openxmlformats.org/officeDocument/2006/relationships/hyperlink" Target="https://purview.microsoft.com/" TargetMode="External"/><Relationship Id="rId215" Type="http://schemas.openxmlformats.org/officeDocument/2006/relationships/hyperlink" Target="https://docs.microsoft.com/en-us/microsoft-365/compliance/manage-information-governance?view=o365-worldwide" TargetMode="External"/><Relationship Id="rId257" Type="http://schemas.openxmlformats.org/officeDocument/2006/relationships/hyperlink" Target="https://docs.microsoft.com/en-us/azure/defender-for-cloud/defender-for-containers-introduction?tabs=defender-for-container-arch-aks" TargetMode="External"/><Relationship Id="rId422" Type="http://schemas.openxmlformats.org/officeDocument/2006/relationships/hyperlink" Target="https://docs.microsoft.com/en-us/azure/active-directory/roles/permissions-reference" TargetMode="External"/><Relationship Id="rId464" Type="http://schemas.openxmlformats.org/officeDocument/2006/relationships/hyperlink" Target="https://intune.microsoft.com/" TargetMode="External"/><Relationship Id="rId299" Type="http://schemas.openxmlformats.org/officeDocument/2006/relationships/hyperlink" Target="https://docs.microsoft.com/en-us/azure/active-directory/app-provisioning/plan-cloud-hr-provision" TargetMode="External"/><Relationship Id="rId63" Type="http://schemas.openxmlformats.org/officeDocument/2006/relationships/hyperlink" Target="https://docs.microsoft.com/en-us/mem/intune/fundamentals/role-based-access-control" TargetMode="External"/><Relationship Id="rId159" Type="http://schemas.openxmlformats.org/officeDocument/2006/relationships/hyperlink" Target="https://security.microsoft.com/" TargetMode="External"/><Relationship Id="rId366" Type="http://schemas.openxmlformats.org/officeDocument/2006/relationships/hyperlink" Target="https://entra.microsoft.com/" TargetMode="External"/><Relationship Id="rId226" Type="http://schemas.openxmlformats.org/officeDocument/2006/relationships/hyperlink" Target="https://docs.microsoft.com/en-us/microsoft-365/compliance/insider-risk-management-configure?view=o365-worldwide" TargetMode="External"/><Relationship Id="rId433" Type="http://schemas.openxmlformats.org/officeDocument/2006/relationships/hyperlink" Target="https://learn.microsoft.com/en-us/mem/intune/protect/fota-updates-android" TargetMode="External"/><Relationship Id="rId74" Type="http://schemas.openxmlformats.org/officeDocument/2006/relationships/hyperlink" Target="https://docs.microsoft.com/en-us/mem/intune/fundamentals/role-based-access-control" TargetMode="External"/><Relationship Id="rId377" Type="http://schemas.openxmlformats.org/officeDocument/2006/relationships/hyperlink" Target="https://entra.microsoft.com/" TargetMode="External"/><Relationship Id="rId500" Type="http://schemas.openxmlformats.org/officeDocument/2006/relationships/hyperlink" Target="https://purview.microsoft.com/" TargetMode="External"/><Relationship Id="rId5" Type="http://schemas.openxmlformats.org/officeDocument/2006/relationships/hyperlink" Target="https://docs.microsoft.com/en-us/sharepointmigration/migrate-to-sharepoint-online" TargetMode="External"/><Relationship Id="rId237" Type="http://schemas.openxmlformats.org/officeDocument/2006/relationships/hyperlink" Target="https://docs.microsoft.com/en-us/microsoft-365/compliance/apply-sensitivity-label-automatically?view=o365-worldwide" TargetMode="External"/><Relationship Id="rId444" Type="http://schemas.openxmlformats.org/officeDocument/2006/relationships/hyperlink" Target="https://intune.microsoft.com/" TargetMode="External"/><Relationship Id="rId290" Type="http://schemas.openxmlformats.org/officeDocument/2006/relationships/hyperlink" Target="https://docs.microsoft.com/en-us/mem/intune/configuration/device-profile-create" TargetMode="External"/><Relationship Id="rId304" Type="http://schemas.openxmlformats.org/officeDocument/2006/relationships/hyperlink" Target="https://docs.microsoft.com/en-us/microsoft-365/compliance/privileged-access-management-configuration?view=o365-worldwide" TargetMode="External"/><Relationship Id="rId388" Type="http://schemas.openxmlformats.org/officeDocument/2006/relationships/hyperlink" Target="https://learn.microsoft.com/en-us/entra/identity/authentication/concept-authentication-oath-tokens" TargetMode="External"/><Relationship Id="rId511" Type="http://schemas.openxmlformats.org/officeDocument/2006/relationships/hyperlink" Target="https://purview.microsoft.com/" TargetMode="External"/><Relationship Id="rId85" Type="http://schemas.openxmlformats.org/officeDocument/2006/relationships/hyperlink" Target="https://docs.microsoft.com/en-us/azure/defender-for-cloud/enhanced-security-features-overview" TargetMode="External"/><Relationship Id="rId150" Type="http://schemas.openxmlformats.org/officeDocument/2006/relationships/hyperlink" Target="https://entra.microsoft.com/" TargetMode="External"/><Relationship Id="rId248" Type="http://schemas.openxmlformats.org/officeDocument/2006/relationships/hyperlink" Target="https://docs.microsoft.com/en-us/microsoft-365/security/office-365-security/use-dmarc-to-validate-email?view=o365-worldwide" TargetMode="External"/><Relationship Id="rId455" Type="http://schemas.openxmlformats.org/officeDocument/2006/relationships/hyperlink" Target="https://intune.microsoft.com/" TargetMode="External"/><Relationship Id="rId12" Type="http://schemas.openxmlformats.org/officeDocument/2006/relationships/hyperlink" Target="https://learn.microsoft.com/en-us/entra/identity/authentication/concept-registration-mfa-sspr-combined" TargetMode="External"/><Relationship Id="rId108" Type="http://schemas.openxmlformats.org/officeDocument/2006/relationships/hyperlink" Target="https://docs.microsoft.com/en-us/microsoft-365/compliance/microsoft-365-compliance-center-permissions?view=o365-worldwide" TargetMode="External"/><Relationship Id="rId315" Type="http://schemas.openxmlformats.org/officeDocument/2006/relationships/hyperlink" Target="https://security.microsoft.com/" TargetMode="External"/><Relationship Id="rId522" Type="http://schemas.openxmlformats.org/officeDocument/2006/relationships/hyperlink" Target="https://purview.microsoft.com/" TargetMode="External"/><Relationship Id="rId96" Type="http://schemas.openxmlformats.org/officeDocument/2006/relationships/hyperlink" Target="https://docs.microsoft.com/en-us/microsoft-365/security/office-365-security/attack-simulation-training-get-started?view=o365-worldwide" TargetMode="External"/><Relationship Id="rId161" Type="http://schemas.openxmlformats.org/officeDocument/2006/relationships/hyperlink" Target="https://security.microsoft.com/" TargetMode="External"/><Relationship Id="rId399" Type="http://schemas.openxmlformats.org/officeDocument/2006/relationships/hyperlink" Target="https://learn.microsoft.com/en-us/microsoft-365/security/office-365-security/scc-permissions?view=o365-worldwide" TargetMode="External"/><Relationship Id="rId259" Type="http://schemas.openxmlformats.org/officeDocument/2006/relationships/hyperlink" Target="https://learn.microsoft.com/en-gb/azure/storage/common/azure-defender-storage-configure?tabs=per-storage-account" TargetMode="External"/><Relationship Id="rId466" Type="http://schemas.openxmlformats.org/officeDocument/2006/relationships/hyperlink" Target="https://intune.microsoft.com/" TargetMode="External"/><Relationship Id="rId23" Type="http://schemas.openxmlformats.org/officeDocument/2006/relationships/hyperlink" Target="https://docs.microsoft.com/en-us/exchange/permissions-exo/permissions-exo" TargetMode="External"/><Relationship Id="rId119" Type="http://schemas.openxmlformats.org/officeDocument/2006/relationships/hyperlink" Target="https://docs.microsoft.com/en-us/microsoft-365/business/manage-domain-users?view=o365-worldwide" TargetMode="External"/><Relationship Id="rId326" Type="http://schemas.openxmlformats.org/officeDocument/2006/relationships/hyperlink" Target="https://learn.microsoft.com/en-us/azure/active-directory/external-identities/external-identities-pricing" TargetMode="External"/><Relationship Id="rId533" Type="http://schemas.openxmlformats.org/officeDocument/2006/relationships/hyperlink" Target="https://docs.microsoft.com/en-us/microsoft-365/compliance/assign-ediscovery-permissions?view=o365-worldwid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cs.microsoft.com/en-us/mem/configmgr/comanage/how-to-enable" TargetMode="External"/><Relationship Id="rId21" Type="http://schemas.openxmlformats.org/officeDocument/2006/relationships/hyperlink" Target="https://docs.microsoft.com/en-us/azure/active-directory/authentication/howto-mfa-nps-extension" TargetMode="External"/><Relationship Id="rId42" Type="http://schemas.openxmlformats.org/officeDocument/2006/relationships/hyperlink" Target="https://docs.microsoft.com/en-us/microsoft-365/compliance/dlp-on-premises-scanner-get-started?view=o365-worldwide" TargetMode="External"/><Relationship Id="rId63" Type="http://schemas.openxmlformats.org/officeDocument/2006/relationships/hyperlink" Target="https://docs.microsoft.com/en-us/microsoft-365/compliance/sensitive-information-type-learn-about?view=o365-worldwide" TargetMode="External"/><Relationship Id="rId84" Type="http://schemas.openxmlformats.org/officeDocument/2006/relationships/hyperlink" Target="https://docs.microsoft.com/en-gb/azure/security-center/defender-for-dns-introduction" TargetMode="External"/><Relationship Id="rId138" Type="http://schemas.openxmlformats.org/officeDocument/2006/relationships/hyperlink" Target="https://docs.microsoft.com/en-us/microsoft-365/security/defender-endpoint/production-deployment?view=o365-worldwide" TargetMode="External"/><Relationship Id="rId159" Type="http://schemas.openxmlformats.org/officeDocument/2006/relationships/hyperlink" Target="https://learn.microsoft.com/en-us/azure/global-secure-access/concept-remote-network-connectivity" TargetMode="External"/><Relationship Id="rId170" Type="http://schemas.openxmlformats.org/officeDocument/2006/relationships/hyperlink" Target="https://docs.microsoft.com/en-us/azure/active-directory/conditional-access/howto-conditional-access-policy-risk-user" TargetMode="External"/><Relationship Id="rId191" Type="http://schemas.openxmlformats.org/officeDocument/2006/relationships/printerSettings" Target="../printerSettings/printerSettings4.bin"/><Relationship Id="rId107" Type="http://schemas.openxmlformats.org/officeDocument/2006/relationships/hyperlink" Target="https://docs.microsoft.com/en-us/windows/security/identity-protection/credential-guard/credential-guard-manage" TargetMode="External"/><Relationship Id="rId11" Type="http://schemas.openxmlformats.org/officeDocument/2006/relationships/hyperlink" Target="https://docs.microsoft.com/en-us/azure/active-directory/conditional-access/concept-conditional-access-cloud-apps" TargetMode="External"/><Relationship Id="rId32" Type="http://schemas.openxmlformats.org/officeDocument/2006/relationships/hyperlink" Target="https://docs.microsoft.com/en-us/azure/purview/how-to-search-catalog" TargetMode="External"/><Relationship Id="rId53" Type="http://schemas.openxmlformats.org/officeDocument/2006/relationships/hyperlink" Target="https://docs.microsoft.com/en-us/microsoft-365/compliance/manage-information-governance?view=o365-worldwide" TargetMode="External"/><Relationship Id="rId74" Type="http://schemas.openxmlformats.org/officeDocument/2006/relationships/hyperlink" Target="https://docs.microsoft.com/en-us/microsoftteams/manage-external-access" TargetMode="External"/><Relationship Id="rId128" Type="http://schemas.openxmlformats.org/officeDocument/2006/relationships/hyperlink" Target="https://docs.microsoft.com/en-us/azure/active-directory/reports-monitoring/howto-manage-inactive-user-accounts" TargetMode="External"/><Relationship Id="rId149" Type="http://schemas.openxmlformats.org/officeDocument/2006/relationships/hyperlink" Target="https://learn.microsoft.com/en-us/mem/intune/protect/microsoft-tunnel-mam" TargetMode="External"/><Relationship Id="rId5" Type="http://schemas.openxmlformats.org/officeDocument/2006/relationships/hyperlink" Target="https://techcommunity.microsoft.com/t5/microsoft-sharepoint-blog/migrate-your-content-into-microsoft-365/ba-p/1604587" TargetMode="External"/><Relationship Id="rId95" Type="http://schemas.openxmlformats.org/officeDocument/2006/relationships/hyperlink" Target="https://docs.microsoft.com/en-us/microsoft-365/security/defender-endpoint/production-deployment?view=o365-worldwide" TargetMode="External"/><Relationship Id="rId160" Type="http://schemas.openxmlformats.org/officeDocument/2006/relationships/hyperlink" Target="https://learn.microsoft.com/en-us/azure/active-directory/app-provisioning/inbound-provisioning-api-configure-app" TargetMode="External"/><Relationship Id="rId181" Type="http://schemas.openxmlformats.org/officeDocument/2006/relationships/hyperlink" Target="https://learn.microsoft.com/copilot/microsoft-365/copilot-control-system/security-governance" TargetMode="External"/><Relationship Id="rId22" Type="http://schemas.openxmlformats.org/officeDocument/2006/relationships/hyperlink" Target="https://docs.microsoft.com/en-us/azure/active-directory/conditional-access/concept-continuous-access-evaluation" TargetMode="External"/><Relationship Id="rId43" Type="http://schemas.openxmlformats.org/officeDocument/2006/relationships/hyperlink" Target="https://docs.microsoft.com/en-us/microsoft-365/compliance/endpoint-dlp-getting-started?view=o365-worldwide" TargetMode="External"/><Relationship Id="rId64" Type="http://schemas.openxmlformats.org/officeDocument/2006/relationships/hyperlink" Target="https://docs.microsoft.com/en-us/azure/information-protection/deploy-aip-scanner" TargetMode="External"/><Relationship Id="rId118" Type="http://schemas.openxmlformats.org/officeDocument/2006/relationships/hyperlink" Target="https://docs.microsoft.com/en-us/mem/configmgr/core/clients/manage/cmg/plan-cloud-management-gateway" TargetMode="External"/><Relationship Id="rId139" Type="http://schemas.openxmlformats.org/officeDocument/2006/relationships/hyperlink" Target="https://learn.microsoft.com/en-us/azure/external-attack-surface-management/deploying-the-defender-easm-azure-resource" TargetMode="External"/><Relationship Id="rId85" Type="http://schemas.openxmlformats.org/officeDocument/2006/relationships/hyperlink" Target="https://docs.microsoft.com/en-gb/azure/security-center/defender-for-resource-manager-introduction" TargetMode="External"/><Relationship Id="rId150" Type="http://schemas.openxmlformats.org/officeDocument/2006/relationships/hyperlink" Target="https://learn.microsoft.com/en-us/mem/analytics/overview" TargetMode="External"/><Relationship Id="rId171" Type="http://schemas.openxmlformats.org/officeDocument/2006/relationships/hyperlink" Target="https://learn.microsoft.com/en-us/entra/global-secure-access/concept-universal-conditional-access" TargetMode="External"/><Relationship Id="rId192" Type="http://schemas.openxmlformats.org/officeDocument/2006/relationships/vmlDrawing" Target="../drawings/vmlDrawing2.vml"/><Relationship Id="rId12" Type="http://schemas.openxmlformats.org/officeDocument/2006/relationships/hyperlink" Target="https://docs.microsoft.com/en-us/microsoft-365/admin/security-and-compliance/set-up-multi-factor-authentication?view=o365-worldwide" TargetMode="External"/><Relationship Id="rId33" Type="http://schemas.openxmlformats.org/officeDocument/2006/relationships/hyperlink" Target="https://docs.microsoft.com/en-us/microsoft-365/compliance/information-barriers-policies?view=o365-worldwide" TargetMode="External"/><Relationship Id="rId108" Type="http://schemas.openxmlformats.org/officeDocument/2006/relationships/hyperlink" Target="https://techcommunity.microsoft.com/t5/microsoft-defender-for-endpoint/introducing-microsoft-defender-for-endpoint-plan-1/ba-p/2636641" TargetMode="External"/><Relationship Id="rId129" Type="http://schemas.openxmlformats.org/officeDocument/2006/relationships/hyperlink" Target="https://docs.microsoft.com/en-us/azure/active-directory/app-provisioning/plan-cloud-hr-provision" TargetMode="External"/><Relationship Id="rId54" Type="http://schemas.openxmlformats.org/officeDocument/2006/relationships/hyperlink" Target="https://docs.microsoft.com/en-us/microsoft-365/compliance/get-started-core-ediscovery?view=o365-worldwide" TargetMode="External"/><Relationship Id="rId75" Type="http://schemas.openxmlformats.org/officeDocument/2006/relationships/hyperlink" Target="https://docs.microsoft.com/en-us/exchange/troubleshoot/antispam-and-protection/how-to-reduce-malware-threats-via-file-attachment-blocking" TargetMode="External"/><Relationship Id="rId96" Type="http://schemas.openxmlformats.org/officeDocument/2006/relationships/hyperlink" Target="https://techcommunity.microsoft.com/t5/windows-it-pro-blog/get-started-with-windows-365-enterprise/ba-p/2530504?WT.mc_id=modinfra-35960-abartolo" TargetMode="External"/><Relationship Id="rId140" Type="http://schemas.openxmlformats.org/officeDocument/2006/relationships/hyperlink" Target="https://learn.microsoft.com/en-us/azure/active-directory/governance/entitlement-management-organization" TargetMode="External"/><Relationship Id="rId161" Type="http://schemas.openxmlformats.org/officeDocument/2006/relationships/hyperlink" Target="https://learn.microsoft.com/en-us/azure/active-directory/governance/review-recommendations-access-reviews" TargetMode="External"/><Relationship Id="rId182" Type="http://schemas.openxmlformats.org/officeDocument/2006/relationships/hyperlink" Target="https://learn.microsoft.com/copilot/microsoft-365/manage-generative-ai-apps" TargetMode="External"/><Relationship Id="rId6" Type="http://schemas.openxmlformats.org/officeDocument/2006/relationships/hyperlink" Target="https://docs.microsoft.com/en-us/sharepointmigration/migrate-to-sharepoint-online" TargetMode="External"/><Relationship Id="rId23" Type="http://schemas.openxmlformats.org/officeDocument/2006/relationships/hyperlink" Target="https://docs.microsoft.com/en-us/microsoft-365/business/manage-domain-users?view=o365-worldwide" TargetMode="External"/><Relationship Id="rId119" Type="http://schemas.openxmlformats.org/officeDocument/2006/relationships/hyperlink" Target="https://docs.microsoft.com/en-us/mem/configmgr/core/servers/deploy/install/upgrade-to-configuration-manager" TargetMode="External"/><Relationship Id="rId44" Type="http://schemas.openxmlformats.org/officeDocument/2006/relationships/hyperlink" Target="https://docs.microsoft.com/en-gb/privacy/priva/priva-overview?culture=en-gb&amp;country=GB" TargetMode="External"/><Relationship Id="rId65" Type="http://schemas.openxmlformats.org/officeDocument/2006/relationships/hyperlink" Target="https://docs.microsoft.com/en-us/microsoft-365/compliance/sit-get-started-exact-data-match-based-sits-overview?view=o365-worldwide" TargetMode="External"/><Relationship Id="rId86" Type="http://schemas.openxmlformats.org/officeDocument/2006/relationships/hyperlink" Target="https://docs.microsoft.com/en-gb/azure/security-center/defender-for-key-vault-introduction" TargetMode="External"/><Relationship Id="rId130" Type="http://schemas.openxmlformats.org/officeDocument/2006/relationships/hyperlink" Target="https://docs.microsoft.com/en-us/azure/active-directory/saas-apps/tutorial-list" TargetMode="External"/><Relationship Id="rId151" Type="http://schemas.openxmlformats.org/officeDocument/2006/relationships/hyperlink" Target="https://learn.microsoft.com/en-us/azure/active-directory/devices/howto-hybrid-azure-ad-join" TargetMode="External"/><Relationship Id="rId172" Type="http://schemas.openxmlformats.org/officeDocument/2006/relationships/hyperlink" Target="https://learn.microsoft.com/en-us/entra/global-secure-access/how-to-view-traffic-logs" TargetMode="External"/><Relationship Id="rId193" Type="http://schemas.openxmlformats.org/officeDocument/2006/relationships/comments" Target="../comments2.xml"/><Relationship Id="rId13" Type="http://schemas.openxmlformats.org/officeDocument/2006/relationships/hyperlink" Target="https://docs.microsoft.com/en-us/azure/active-directory/authentication/concept-registration-mfa-sspr-combined" TargetMode="External"/><Relationship Id="rId109" Type="http://schemas.openxmlformats.org/officeDocument/2006/relationships/hyperlink" Target="https://docs.microsoft.com/en-us/windows/security/identity-protection/hello-for-business/hello-overview" TargetMode="External"/><Relationship Id="rId34" Type="http://schemas.openxmlformats.org/officeDocument/2006/relationships/hyperlink" Target="https://docs.microsoft.com/en-gb/azure/security-center/defender-for-servers-introduction" TargetMode="External"/><Relationship Id="rId50" Type="http://schemas.openxmlformats.org/officeDocument/2006/relationships/hyperlink" Target="https://docs.microsoft.com/en-us/azure/active-directory/identity-protection/howto-identity-protection-investigate-risk" TargetMode="External"/><Relationship Id="rId55" Type="http://schemas.openxmlformats.org/officeDocument/2006/relationships/hyperlink" Target="https://docs.microsoft.com/en-us/cloud-app-security/control" TargetMode="External"/><Relationship Id="rId76" Type="http://schemas.openxmlformats.org/officeDocument/2006/relationships/hyperlink" Target="https://docs.microsoft.com/en-us/microsoft-365/security/office-365-security/external-email-forwarding?view=o365-worldwide" TargetMode="External"/><Relationship Id="rId97" Type="http://schemas.openxmlformats.org/officeDocument/2006/relationships/hyperlink" Target="https://www.microsoft.com/en-gb/fasttrack/microsoft-365/app-assure" TargetMode="External"/><Relationship Id="rId104" Type="http://schemas.openxmlformats.org/officeDocument/2006/relationships/hyperlink" Target="https://docs.microsoft.com/en-us/windows/security/threat-protection/windows-firewall/best-practices-configuring" TargetMode="External"/><Relationship Id="rId120" Type="http://schemas.openxmlformats.org/officeDocument/2006/relationships/hyperlink" Target="https://docs.microsoft.com/en-us/mem/intune/configuration/device-profile-create" TargetMode="External"/><Relationship Id="rId125" Type="http://schemas.openxmlformats.org/officeDocument/2006/relationships/hyperlink" Target="https://docs.microsoft.com/en-us/azure/active-directory/governance/create-access-review" TargetMode="External"/><Relationship Id="rId141" Type="http://schemas.openxmlformats.org/officeDocument/2006/relationships/hyperlink" Target="https://learn.microsoft.com/en-us/azure/active-directory/external-identities/external-identities-pricing" TargetMode="External"/><Relationship Id="rId146" Type="http://schemas.openxmlformats.org/officeDocument/2006/relationships/hyperlink" Target="https://learn.microsoft.com/en-us/windows-hardware/customize/enterprise/uwf-turnonuwf" TargetMode="External"/><Relationship Id="rId167" Type="http://schemas.openxmlformats.org/officeDocument/2006/relationships/hyperlink" Target="https://learn.microsoft.com/en-us/purview/add-your-organization-brand-to-encrypted-messages" TargetMode="External"/><Relationship Id="rId188" Type="http://schemas.openxmlformats.org/officeDocument/2006/relationships/hyperlink" Target="https://learn.microsoft.com/en-us/purview/dlp-microsoft365-copilot-location-learn-about" TargetMode="External"/><Relationship Id="rId7" Type="http://schemas.openxmlformats.org/officeDocument/2006/relationships/hyperlink" Target="https://docs.microsoft.com/en-us/azure/active-directory/manage-apps/configure-user-consent?tabs=azure-portal" TargetMode="External"/><Relationship Id="rId71" Type="http://schemas.openxmlformats.org/officeDocument/2006/relationships/hyperlink" Target="https://docs.microsoft.com/en-us/cloud-app-security/policies-threat-protection" TargetMode="External"/><Relationship Id="rId92" Type="http://schemas.openxmlformats.org/officeDocument/2006/relationships/hyperlink" Target="https://docs.microsoft.com/en-us/microsoft-365/security/defender-endpoint/ios-install?view=o365-worldwide" TargetMode="External"/><Relationship Id="rId162" Type="http://schemas.openxmlformats.org/officeDocument/2006/relationships/hyperlink" Target="https://learn.microsoft.com/en-us/entra/identity/conditional-access/concept-conditional-access-cloud-apps" TargetMode="External"/><Relationship Id="rId183" Type="http://schemas.openxmlformats.org/officeDocument/2006/relationships/hyperlink" Target="https://learn.microsoft.com/copilot/security/get-started-security-copilot" TargetMode="External"/><Relationship Id="rId2" Type="http://schemas.openxmlformats.org/officeDocument/2006/relationships/hyperlink" Target="https://docs.microsoft.com/en-us/azure/active-directory/hybrid/how-to-connect-password-hash-synchronization" TargetMode="External"/><Relationship Id="rId29" Type="http://schemas.openxmlformats.org/officeDocument/2006/relationships/hyperlink" Target="https://docs.microsoft.com/en-gb/azure/azure-monitor/" TargetMode="External"/><Relationship Id="rId24" Type="http://schemas.openxmlformats.org/officeDocument/2006/relationships/hyperlink" Target="https://docs.microsoft.com/en-us/azure/active-directory/cloud-infrastructure-entitlement-management/onboard-enable-tenant" TargetMode="External"/><Relationship Id="rId40" Type="http://schemas.openxmlformats.org/officeDocument/2006/relationships/hyperlink" Target="https://docs.microsoft.com/en-us/azure/azure-arc/servers/plan-at-scale-deployment" TargetMode="External"/><Relationship Id="rId45" Type="http://schemas.openxmlformats.org/officeDocument/2006/relationships/hyperlink" Target="https://docs.microsoft.com/en-us/microsoft-365/compliance/manage-information-governance?view=o365-worldwide" TargetMode="External"/><Relationship Id="rId66" Type="http://schemas.openxmlformats.org/officeDocument/2006/relationships/hyperlink" Target="https://docs.microsoft.com/en-us/microsoft-365/compliance/classifier-learn-about?view=o365-worldwide" TargetMode="External"/><Relationship Id="rId87" Type="http://schemas.openxmlformats.org/officeDocument/2006/relationships/hyperlink" Target="https://docs.microsoft.com/en-us/azure/defender-for-cloud/defender-for-containers-introduction?tabs=defender-for-container-arch-aks" TargetMode="External"/><Relationship Id="rId110" Type="http://schemas.openxmlformats.org/officeDocument/2006/relationships/hyperlink" Target="https://docs.microsoft.com/en-us/mem/intune/protect/windows-update-for-business-configure" TargetMode="External"/><Relationship Id="rId115" Type="http://schemas.openxmlformats.org/officeDocument/2006/relationships/hyperlink" Target="https://docs.microsoft.com/en-us/mem/intune/enrollment/device-group-mapping" TargetMode="External"/><Relationship Id="rId131" Type="http://schemas.openxmlformats.org/officeDocument/2006/relationships/hyperlink" Target="https://docs.microsoft.com/en-us/mem/intune/protect/microsoft-tunnel-configure" TargetMode="External"/><Relationship Id="rId136" Type="http://schemas.openxmlformats.org/officeDocument/2006/relationships/hyperlink" Target="https://docs.microsoft.com/en-us/microsoft-365/compliance/data-classification-content-explorer?view=o365-worldwide" TargetMode="External"/><Relationship Id="rId157" Type="http://schemas.openxmlformats.org/officeDocument/2006/relationships/hyperlink" Target="https://learn.microsoft.com/en-us/azure/global-secure-access/how-to-configure-per-app-access" TargetMode="External"/><Relationship Id="rId178" Type="http://schemas.openxmlformats.org/officeDocument/2006/relationships/hyperlink" Target="https://www.microsoft.com/en-us/security/business/ai-machine-learning/microsoft-security-copilot?msockid=17eef9def0b66c232418ed02f1326d93" TargetMode="External"/><Relationship Id="rId61" Type="http://schemas.openxmlformats.org/officeDocument/2006/relationships/hyperlink" Target="https://docs.microsoft.com/en-us/sharepoint/turn-external-sharing-on-or-off" TargetMode="External"/><Relationship Id="rId82" Type="http://schemas.openxmlformats.org/officeDocument/2006/relationships/hyperlink" Target="https://docs.microsoft.com/en-us/microsoft-365/security/office-365-security/configure-anti-malware-policies?view=o365-worldwide" TargetMode="External"/><Relationship Id="rId152" Type="http://schemas.openxmlformats.org/officeDocument/2006/relationships/hyperlink" Target="https://techcommunity.microsoft.com/t5/microsoft-intune-blog/enable-windows-standard-users-with-endpoint-privilege-management/ba-p/3755710" TargetMode="External"/><Relationship Id="rId173" Type="http://schemas.openxmlformats.org/officeDocument/2006/relationships/hyperlink" Target="https://learn.microsoft.com/en-us/entra/global-secure-access/how-to-configure-web-content-filtering" TargetMode="External"/><Relationship Id="rId19" Type="http://schemas.openxmlformats.org/officeDocument/2006/relationships/hyperlink" Target="https://docs.microsoft.com/en-us/azure/active-directory/privileged-identity-management/pim-configure" TargetMode="External"/><Relationship Id="rId14" Type="http://schemas.openxmlformats.org/officeDocument/2006/relationships/hyperlink" Target="https://learn.microsoft.com/en-us/entra/identity/authentication/concept-authentication-passwordless" TargetMode="External"/><Relationship Id="rId30" Type="http://schemas.openxmlformats.org/officeDocument/2006/relationships/hyperlink" Target="https://learn.microsoft.com/en-us/purview/archive-third-party-data" TargetMode="External"/><Relationship Id="rId35" Type="http://schemas.openxmlformats.org/officeDocument/2006/relationships/hyperlink" Target="https://docs.microsoft.com/en-us/azure/defender-for-iot/organizations/how-to-install-software" TargetMode="External"/><Relationship Id="rId56" Type="http://schemas.openxmlformats.org/officeDocument/2006/relationships/hyperlink" Target="https://docs.microsoft.com/en-us/microsoft-365/compliance/insider-risk-management-configure?view=o365-worldwide" TargetMode="External"/><Relationship Id="rId77" Type="http://schemas.openxmlformats.org/officeDocument/2006/relationships/hyperlink" Target="https://docs.microsoft.com/en-us/exchange/sharing/sharing-policies/modify-a-sharing-policy" TargetMode="External"/><Relationship Id="rId100" Type="http://schemas.openxmlformats.org/officeDocument/2006/relationships/hyperlink" Target="https://docs.microsoft.com/en-us/microsoft-365/security/defender-endpoint/web-content-filtering?view=o365-worldwide" TargetMode="External"/><Relationship Id="rId105" Type="http://schemas.openxmlformats.org/officeDocument/2006/relationships/hyperlink" Target="https://docs.microsoft.com/en-us/mem/configmgr/protect/deploy-use/create-deploy-exploit-guard-policy" TargetMode="External"/><Relationship Id="rId126" Type="http://schemas.openxmlformats.org/officeDocument/2006/relationships/hyperlink" Target="https://docs.microsoft.com/en-us/azure/active-directory/enterprise-users/groups-create-rule" TargetMode="External"/><Relationship Id="rId147" Type="http://schemas.openxmlformats.org/officeDocument/2006/relationships/hyperlink" Target="https://learn.microsoft.com/en-us/azure/defender-for-cloud/concept-cloud-security-posture-management" TargetMode="External"/><Relationship Id="rId168" Type="http://schemas.openxmlformats.org/officeDocument/2006/relationships/hyperlink" Target="https://learn.microsoft.com/en-us/purview/dlp-osp-get-started" TargetMode="External"/><Relationship Id="rId8" Type="http://schemas.openxmlformats.org/officeDocument/2006/relationships/hyperlink" Target="https://techcommunity.microsoft.com/t5/itops-talk-blog/step-by-step-implementing-azure-ad-password-protection-on/ba-p/563342" TargetMode="External"/><Relationship Id="rId51" Type="http://schemas.openxmlformats.org/officeDocument/2006/relationships/hyperlink" Target="https://docs.microsoft.com/en-us/microsoft-365/compliance/double-key-encryption?view=o365-worldwide" TargetMode="External"/><Relationship Id="rId72" Type="http://schemas.openxmlformats.org/officeDocument/2006/relationships/hyperlink" Target="https://docs.microsoft.com/en-us/defender-for-identity/" TargetMode="External"/><Relationship Id="rId93" Type="http://schemas.openxmlformats.org/officeDocument/2006/relationships/hyperlink" Target="https://docs.microsoft.com/en-us/microsoft-365/security/defender-endpoint/android-intune?view=o365-worldwide" TargetMode="External"/><Relationship Id="rId98" Type="http://schemas.openxmlformats.org/officeDocument/2006/relationships/hyperlink" Target="https://techcommunity.microsoft.com/t5/microsoft-endpoint-manager-blog/remote-help-a-new-remote-assistance-tool-from-microsoft/ba-p/2822622" TargetMode="External"/><Relationship Id="rId121" Type="http://schemas.openxmlformats.org/officeDocument/2006/relationships/hyperlink" Target="https://docs.microsoft.com/en-us/mem/intune/apps/app-protection-policy" TargetMode="External"/><Relationship Id="rId142" Type="http://schemas.openxmlformats.org/officeDocument/2006/relationships/hyperlink" Target="https://learn.microsoft.com/en-us/azure/active-directory/external-identities/what-is-b2b" TargetMode="External"/><Relationship Id="rId163" Type="http://schemas.openxmlformats.org/officeDocument/2006/relationships/hyperlink" Target="https://learn.microsoft.com/en-us/entra/identity/authentication/how-to-certificate-based-authentication" TargetMode="External"/><Relationship Id="rId184" Type="http://schemas.openxmlformats.org/officeDocument/2006/relationships/hyperlink" Target="https://learn.microsoft.com/en-us/azure/defender-for-cloud/ai-onboarding" TargetMode="External"/><Relationship Id="rId189" Type="http://schemas.openxmlformats.org/officeDocument/2006/relationships/hyperlink" Target="https://learn.microsoft.com/en-us/purview/dlp-microsoft365-copilot-location-learn-about" TargetMode="External"/><Relationship Id="rId3" Type="http://schemas.openxmlformats.org/officeDocument/2006/relationships/hyperlink" Target="https://docs.microsoft.com/en-us/learn/modules/deploy-microsoft-365-apps-for-enterprise/" TargetMode="External"/><Relationship Id="rId25" Type="http://schemas.openxmlformats.org/officeDocument/2006/relationships/hyperlink" Target="https://docs.microsoft.com/en-us/microsoft-365/compliance/communication-compliance-configure?view=o365-worldwide" TargetMode="External"/><Relationship Id="rId46" Type="http://schemas.openxmlformats.org/officeDocument/2006/relationships/hyperlink" Target="https://docs.microsoft.com/en-us/microsoft-365/security/defender-endpoint/microsoft-threat-experts?view=o365-worldwide" TargetMode="External"/><Relationship Id="rId67" Type="http://schemas.openxmlformats.org/officeDocument/2006/relationships/hyperlink" Target="https://docs.microsoft.com/en-us/microsoft-365/compliance/apply-sensitivity-label-automatically?view=o365-worldwide" TargetMode="External"/><Relationship Id="rId116" Type="http://schemas.openxmlformats.org/officeDocument/2006/relationships/hyperlink" Target="https://docs.microsoft.com/en-us/mem/intune/apps/apps-add" TargetMode="External"/><Relationship Id="rId137" Type="http://schemas.openxmlformats.org/officeDocument/2006/relationships/hyperlink" Target="https://docs.microsoft.com/en-us/azure/defender-for-cloud/deploy-vulnerability-assessment-tvm" TargetMode="External"/><Relationship Id="rId158" Type="http://schemas.openxmlformats.org/officeDocument/2006/relationships/hyperlink" Target="https://learn.microsoft.com/en-us/azure/global-secure-access/how-to-configure-quick-access" TargetMode="External"/><Relationship Id="rId20" Type="http://schemas.openxmlformats.org/officeDocument/2006/relationships/hyperlink" Target="https://docs.microsoft.com/en-us/azure/active-directory/conditional-access/concept-conditional-access-cloud-apps" TargetMode="External"/><Relationship Id="rId41" Type="http://schemas.openxmlformats.org/officeDocument/2006/relationships/hyperlink" Target="https://docs.microsoft.com/en-us/azure/ddos-protection/manage-ddos-protection" TargetMode="External"/><Relationship Id="rId62" Type="http://schemas.openxmlformats.org/officeDocument/2006/relationships/hyperlink" Target="https://docs.microsoft.com/en-us/azure/information-protection/deploy-aip-scanner" TargetMode="External"/><Relationship Id="rId83" Type="http://schemas.openxmlformats.org/officeDocument/2006/relationships/hyperlink" Target="https://docs.microsoft.com/en-gb/azure/security-center/defender-for-databases-introduction" TargetMode="External"/><Relationship Id="rId88" Type="http://schemas.openxmlformats.org/officeDocument/2006/relationships/hyperlink" Target="https://docs.microsoft.com/en-gb/azure/security-center/defender-for-sql-introduction" TargetMode="External"/><Relationship Id="rId111" Type="http://schemas.openxmlformats.org/officeDocument/2006/relationships/hyperlink" Target="https://docs.microsoft.com/en-us/windows/deployment/deploy" TargetMode="External"/><Relationship Id="rId132" Type="http://schemas.openxmlformats.org/officeDocument/2006/relationships/hyperlink" Target="https://docs.microsoft.com/en-us/azure/active-directory/app-proxy/application-proxy-config-how-to" TargetMode="External"/><Relationship Id="rId153" Type="http://schemas.openxmlformats.org/officeDocument/2006/relationships/hyperlink" Target="https://learn.microsoft.com/en-gb/mem/analytics/advanced-endpoint-analytics" TargetMode="External"/><Relationship Id="rId174" Type="http://schemas.openxmlformats.org/officeDocument/2006/relationships/hyperlink" Target="https://learn.microsoft.com/en-us/entra/global-secure-access/how-to-configure-web-content-filtering" TargetMode="External"/><Relationship Id="rId179" Type="http://schemas.openxmlformats.org/officeDocument/2006/relationships/hyperlink" Target="https://techcommunity.microsoft.com/blog/microsoftmechanicsblog/data-security-posture-management-dspm-new-to-microsoft-purview/4329785" TargetMode="External"/><Relationship Id="rId190" Type="http://schemas.openxmlformats.org/officeDocument/2006/relationships/hyperlink" Target="https://learn.microsoft.com/en-us/purview/audit-copilot" TargetMode="External"/><Relationship Id="rId15" Type="http://schemas.openxmlformats.org/officeDocument/2006/relationships/hyperlink" Target="https://docs.microsoft.com/en-us/azure/active-directory/conditional-access/howto-conditional-access-policy-block-legacy" TargetMode="External"/><Relationship Id="rId36" Type="http://schemas.openxmlformats.org/officeDocument/2006/relationships/hyperlink" Target="https://docs.microsoft.com/en-us/azure/bastion/tutorial-create-host-portal" TargetMode="External"/><Relationship Id="rId57" Type="http://schemas.openxmlformats.org/officeDocument/2006/relationships/hyperlink" Target="https://docs.microsoft.com/en-us/microsoft-365/compliance/dlp-microsoft-teams?view=o365-worldwide" TargetMode="External"/><Relationship Id="rId106" Type="http://schemas.openxmlformats.org/officeDocument/2006/relationships/hyperlink" Target="https://www.microsoft.com/security/blog/2018/04/19/introducing-windows-defender-system-guard-runtime-attestation/" TargetMode="External"/><Relationship Id="rId127" Type="http://schemas.openxmlformats.org/officeDocument/2006/relationships/hyperlink" Target="https://docs.microsoft.com/en-us/azure/active-directory/enterprise-users/groups-self-service-management" TargetMode="External"/><Relationship Id="rId10" Type="http://schemas.openxmlformats.org/officeDocument/2006/relationships/hyperlink" Target="https://docs.microsoft.com/en-us/azure/active-directory/conditional-access/location-condition" TargetMode="External"/><Relationship Id="rId31" Type="http://schemas.openxmlformats.org/officeDocument/2006/relationships/hyperlink" Target="https://docs.microsoft.com/en-us/azure/purview/concept-elastic-data-map" TargetMode="External"/><Relationship Id="rId52" Type="http://schemas.openxmlformats.org/officeDocument/2006/relationships/hyperlink" Target="https://docs.microsoft.com/en-us/microsoft-365/compliance/get-started-with-advanced-ediscovery?view=o365-worldwide" TargetMode="External"/><Relationship Id="rId73" Type="http://schemas.openxmlformats.org/officeDocument/2006/relationships/hyperlink" Target="https://docs.microsoft.com/en-us/microsoftteams/set-up-guests" TargetMode="External"/><Relationship Id="rId78" Type="http://schemas.openxmlformats.org/officeDocument/2006/relationships/hyperlink" Target="https://docs.microsoft.com/en-us/microsoft-365/security/office-365-security/use-dmarc-to-validate-email?view=o365-worldwide" TargetMode="External"/><Relationship Id="rId94" Type="http://schemas.openxmlformats.org/officeDocument/2006/relationships/hyperlink" Target="https://docs.microsoft.com/en-us/microsoft-365/security/defender-endpoint/microsoft-defender-endpoint-mac?view=o365-worldwide" TargetMode="External"/><Relationship Id="rId99" Type="http://schemas.openxmlformats.org/officeDocument/2006/relationships/hyperlink" Target="https://docs.microsoft.com/en-us/windows/deployment/windows-autopatch/overview/windows-autopatch-overview" TargetMode="External"/><Relationship Id="rId101" Type="http://schemas.openxmlformats.org/officeDocument/2006/relationships/hyperlink" Target="https://docs.microsoft.com/en-us/windows/security/threat-protection/microsoft-defender-application-guard/md-app-guard-overview" TargetMode="External"/><Relationship Id="rId122" Type="http://schemas.openxmlformats.org/officeDocument/2006/relationships/hyperlink" Target="https://docs.microsoft.com/en-us/mem/intune/configuration/device-profiles" TargetMode="External"/><Relationship Id="rId143" Type="http://schemas.openxmlformats.org/officeDocument/2006/relationships/hyperlink" Target="https://learn.microsoft.com/en-us/azure/defender-for-cloud/quickstart-onboard-devops" TargetMode="External"/><Relationship Id="rId148" Type="http://schemas.openxmlformats.org/officeDocument/2006/relationships/hyperlink" Target="https://learn.microsoft.com/en-us/mem/intune/fundamentals/specialty-devices-with-intune" TargetMode="External"/><Relationship Id="rId164" Type="http://schemas.openxmlformats.org/officeDocument/2006/relationships/hyperlink" Target="https://learn.microsoft.com/en-us/entra/identity/authentication/concept-authentication-oath-tokens" TargetMode="External"/><Relationship Id="rId169" Type="http://schemas.openxmlformats.org/officeDocument/2006/relationships/hyperlink" Target="https://learn.microsoft.com/en-us/entra/verified-id/verifiable-credentials-configure-tenant-quick" TargetMode="External"/><Relationship Id="rId185" Type="http://schemas.openxmlformats.org/officeDocument/2006/relationships/hyperlink" Target="https://learn.microsoft.com/en-us/microsoft-agent-365/admin/capabilities-entra" TargetMode="External"/><Relationship Id="rId4" Type="http://schemas.openxmlformats.org/officeDocument/2006/relationships/hyperlink" Target="https://docs.microsoft.com/en-us/learn/paths/m365-messaging-hybrid-migration/" TargetMode="External"/><Relationship Id="rId9" Type="http://schemas.openxmlformats.org/officeDocument/2006/relationships/hyperlink" Target="https://docs.microsoft.com/en-us/azure/active-directory/authentication/howto-authentication-temporary-access-pass" TargetMode="External"/><Relationship Id="rId180" Type="http://schemas.openxmlformats.org/officeDocument/2006/relationships/hyperlink" Target="https://learn.microsoft.com/purview/ai-microsoft-purview" TargetMode="External"/><Relationship Id="rId26" Type="http://schemas.openxmlformats.org/officeDocument/2006/relationships/hyperlink" Target="https://docs.microsoft.com/en-us/microsoft-365/compliance/customer-lockbox-requests?view=o365-worldwide" TargetMode="External"/><Relationship Id="rId47" Type="http://schemas.openxmlformats.org/officeDocument/2006/relationships/hyperlink" Target="https://learn.microsoft.com/en-us/shows/azure-friday/cloud-security-posture-management-cspm-with-azure-security-center" TargetMode="External"/><Relationship Id="rId68" Type="http://schemas.openxmlformats.org/officeDocument/2006/relationships/hyperlink" Target="https://docs.microsoft.com/en-us/microsoft-365/compliance/sensitivity-labels?view=o365-worldwide" TargetMode="External"/><Relationship Id="rId89" Type="http://schemas.openxmlformats.org/officeDocument/2006/relationships/hyperlink" Target="https://learn.microsoft.com/en-gb/azure/storage/common/azure-defender-storage-configure?tabs=per-storage-account" TargetMode="External"/><Relationship Id="rId112" Type="http://schemas.openxmlformats.org/officeDocument/2006/relationships/hyperlink" Target="https://www.microsoft.com/en-gb/microsoft-365/windows/windows-autopilot" TargetMode="External"/><Relationship Id="rId133" Type="http://schemas.openxmlformats.org/officeDocument/2006/relationships/hyperlink" Target="https://docs.microsoft.com/en-us/microsoft-365/security/defender/microsoft-secure-score?view=o365-worldwide" TargetMode="External"/><Relationship Id="rId154" Type="http://schemas.openxmlformats.org/officeDocument/2006/relationships/hyperlink" Target="https://learn.microsoft.com/en-gb/microsoft-365/security/defender-vulnerability-management/tvm-prerequisites?view=o365-worldwide" TargetMode="External"/><Relationship Id="rId175" Type="http://schemas.openxmlformats.org/officeDocument/2006/relationships/hyperlink" Target="https://learn.microsoft.com/en-us/mem/intune/protect/fota-updates-android" TargetMode="External"/><Relationship Id="rId16" Type="http://schemas.openxmlformats.org/officeDocument/2006/relationships/hyperlink" Target="https://docs.microsoft.com/en-us/azure/active-directory/conditional-access/plan-conditional-access" TargetMode="External"/><Relationship Id="rId37" Type="http://schemas.openxmlformats.org/officeDocument/2006/relationships/hyperlink" Target="https://learn.microsoft.com/en-us/azure/frontdoor/create-front-door-portal" TargetMode="External"/><Relationship Id="rId58" Type="http://schemas.openxmlformats.org/officeDocument/2006/relationships/hyperlink" Target="https://docs.microsoft.com/en-us/microsoft-365/compliance/manage-office-365-message-encryption?view=o365-worldwide" TargetMode="External"/><Relationship Id="rId79" Type="http://schemas.openxmlformats.org/officeDocument/2006/relationships/hyperlink" Target="https://docs.microsoft.com/en-us/microsoft-365/security/office-365-security/attack-simulation-training-get-started?view=o365-worldwide" TargetMode="External"/><Relationship Id="rId102" Type="http://schemas.openxmlformats.org/officeDocument/2006/relationships/hyperlink" Target="https://docs.microsoft.com/en-us/windows/security/threat-protection/windows-defender-application-control/select-types-of-rules-to-create" TargetMode="External"/><Relationship Id="rId123" Type="http://schemas.openxmlformats.org/officeDocument/2006/relationships/hyperlink" Target="https://docs.microsoft.com/en-us/mem/intune/protect/security-baselines" TargetMode="External"/><Relationship Id="rId144" Type="http://schemas.openxmlformats.org/officeDocument/2006/relationships/hyperlink" Target="https://learn.microsoft.com/en-us/azure/active-directory/conditional-access/concept-conditional-access-cloud-apps" TargetMode="External"/><Relationship Id="rId90" Type="http://schemas.openxmlformats.org/officeDocument/2006/relationships/hyperlink" Target="https://docs.microsoft.com/en-gb/azure/security-center/defender-for-app-service-introduction" TargetMode="External"/><Relationship Id="rId165" Type="http://schemas.openxmlformats.org/officeDocument/2006/relationships/hyperlink" Target="https://learn.microsoft.com/en-us/microsoft-365/compliance/compliance-manager-setup?view=o365-worldwide" TargetMode="External"/><Relationship Id="rId186" Type="http://schemas.openxmlformats.org/officeDocument/2006/relationships/hyperlink" Target="https://learn.microsoft.com/en-us/azure/defender-for-cloud/ai-security-posture" TargetMode="External"/><Relationship Id="rId27" Type="http://schemas.openxmlformats.org/officeDocument/2006/relationships/hyperlink" Target="https://docs.microsoft.com/en-us/microsoft-365/compliance/customer-key-overview?view=o365-worldwide" TargetMode="External"/><Relationship Id="rId48" Type="http://schemas.openxmlformats.org/officeDocument/2006/relationships/hyperlink" Target="https://docs.microsoft.com/en-us/microsoft-365/compliance/advanced-audit?view=o365-worldwide" TargetMode="External"/><Relationship Id="rId69" Type="http://schemas.openxmlformats.org/officeDocument/2006/relationships/hyperlink" Target="https://docs.microsoft.com/en-us/azure/sentinel/quickstart-onboard" TargetMode="External"/><Relationship Id="rId113" Type="http://schemas.openxmlformats.org/officeDocument/2006/relationships/hyperlink" Target="https://docs.microsoft.com/en-us/mem/intune/apps/app-protection-policy" TargetMode="External"/><Relationship Id="rId134" Type="http://schemas.openxmlformats.org/officeDocument/2006/relationships/hyperlink" Target="https://docs.microsoft.com/en-us/microsoft-365/compliance/privileged-access-management-configuration?view=o365-worldwide" TargetMode="External"/><Relationship Id="rId80" Type="http://schemas.openxmlformats.org/officeDocument/2006/relationships/hyperlink" Target="https://docs.microsoft.com/en-us/microsoft-365/security/office-365-security/exchange-online-protection-overview?view=o365-worldwide" TargetMode="External"/><Relationship Id="rId155" Type="http://schemas.openxmlformats.org/officeDocument/2006/relationships/hyperlink" Target="https://techcommunity.microsoft.com/t5/microsoft-entra-azure-ad-blog/introducing-windows-local-administrator-password-solution-with/ba-p/1942487" TargetMode="External"/><Relationship Id="rId176" Type="http://schemas.openxmlformats.org/officeDocument/2006/relationships/hyperlink" Target="https://www.microsoft.com/en-us/security/business/endpoint-management/microsoft-intune-enterprise-application-management" TargetMode="External"/><Relationship Id="rId17" Type="http://schemas.openxmlformats.org/officeDocument/2006/relationships/hyperlink" Target="https://docs.microsoft.com/en-us/cloud-app-security/proxy-intro-aad" TargetMode="External"/><Relationship Id="rId38" Type="http://schemas.openxmlformats.org/officeDocument/2006/relationships/hyperlink" Target="https://docs.microsoft.com/en-gb/azure/web-application-firewall/ag/application-gateway-web-application-firewall-portal" TargetMode="External"/><Relationship Id="rId59" Type="http://schemas.openxmlformats.org/officeDocument/2006/relationships/hyperlink" Target="https://docs.microsoft.com/en-us/microsoft-365/compliance/create-test-tune-dlp-policy?view=o365-worldwide" TargetMode="External"/><Relationship Id="rId103" Type="http://schemas.openxmlformats.org/officeDocument/2006/relationships/hyperlink" Target="https://docs.microsoft.com/en-us/windows/security/information-protection/bitlocker/bitlocker-management-for-enterprises" TargetMode="External"/><Relationship Id="rId124" Type="http://schemas.openxmlformats.org/officeDocument/2006/relationships/hyperlink" Target="https://docs.microsoft.com/en-us/azure/active-directory/governance/entitlement-management-overview" TargetMode="External"/><Relationship Id="rId70" Type="http://schemas.openxmlformats.org/officeDocument/2006/relationships/hyperlink" Target="https://docs.microsoft.com/en-us/microsoft-365/security/defender/m365d-enable?view=o365-worldwide" TargetMode="External"/><Relationship Id="rId91" Type="http://schemas.openxmlformats.org/officeDocument/2006/relationships/hyperlink" Target="https://docs.microsoft.com/en-gb/azure/security-center/defender-for-servers-introduction" TargetMode="External"/><Relationship Id="rId145" Type="http://schemas.openxmlformats.org/officeDocument/2006/relationships/hyperlink" Target="https://learn.microsoft.com/en-us/azure/active-directory/conditional-access/howto-conditional-access-policy-authentication-strength-external" TargetMode="External"/><Relationship Id="rId166" Type="http://schemas.openxmlformats.org/officeDocument/2006/relationships/hyperlink" Target="https://docs.microsoft.com/en-gb/privacy/priva/priva-overview?culture=en-gb&amp;country=GB" TargetMode="External"/><Relationship Id="rId187" Type="http://schemas.openxmlformats.org/officeDocument/2006/relationships/hyperlink" Target="https://learn.microsoft.com/en-us/azure/cloud-adoption-framework/ai-agents/governance-security-across-organization" TargetMode="External"/><Relationship Id="rId1" Type="http://schemas.openxmlformats.org/officeDocument/2006/relationships/hyperlink" Target="https://docs.microsoft.com/en-us/azure/active-directory/hybrid/how-to-connect-install-select-installation" TargetMode="External"/><Relationship Id="rId28" Type="http://schemas.openxmlformats.org/officeDocument/2006/relationships/hyperlink" Target="https://docs.microsoft.com/en-us/azure/governance/policy/tutorials/create-and-manage" TargetMode="External"/><Relationship Id="rId49" Type="http://schemas.openxmlformats.org/officeDocument/2006/relationships/hyperlink" Target="https://docs.microsoft.com/en-us/microsoft-365/compliance/turn-audit-log-search-on-or-off?view=o365-worldwide" TargetMode="External"/><Relationship Id="rId114" Type="http://schemas.openxmlformats.org/officeDocument/2006/relationships/hyperlink" Target="https://docs.microsoft.com/en-us/mem/intune/configuration/device-profiles" TargetMode="External"/><Relationship Id="rId60" Type="http://schemas.openxmlformats.org/officeDocument/2006/relationships/hyperlink" Target="https://docs.microsoft.com/en-us/cloud-app-security/tutorial-shadow-it" TargetMode="External"/><Relationship Id="rId81" Type="http://schemas.openxmlformats.org/officeDocument/2006/relationships/hyperlink" Target="https://techcommunity.microsoft.com/t5/microsoft-defender-for-office/mastering-configuration-in-defender-for-office-365-part-one/ba-p/2300064" TargetMode="External"/><Relationship Id="rId135" Type="http://schemas.openxmlformats.org/officeDocument/2006/relationships/hyperlink" Target="https://learn.microsoft.com/en-us/defender/threat-intelligence/gathering-threat-intelligence-and-infrastructure-chaining" TargetMode="External"/><Relationship Id="rId156" Type="http://schemas.openxmlformats.org/officeDocument/2006/relationships/hyperlink" Target="https://learn.microsoft.com/en-us/microsoft-365/security/defender-endpoint/configure-server-endpoints?view=o365-worldwide" TargetMode="External"/><Relationship Id="rId177" Type="http://schemas.openxmlformats.org/officeDocument/2006/relationships/hyperlink" Target="https://www.microsoft.com/en-us/security/business/endpoint-management/microsoft-cloud-pki" TargetMode="External"/><Relationship Id="rId18" Type="http://schemas.openxmlformats.org/officeDocument/2006/relationships/hyperlink" Target="https://docs.microsoft.com/en-GB/azure/active-directory/roles/" TargetMode="External"/><Relationship Id="rId39" Type="http://schemas.openxmlformats.org/officeDocument/2006/relationships/hyperlink" Target="https://docs.microsoft.com/en-us/azure/firewall/tutorial-firewall-deploy-portal"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s://learn.microsoft.com/en-us/purview/information-protection"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learn.microsoft.com/en-us/microsoftteams/teams-adoption-understand-teams-and-channels" TargetMode="External"/><Relationship Id="rId21" Type="http://schemas.openxmlformats.org/officeDocument/2006/relationships/hyperlink" Target="https://entra.microsoft.com/" TargetMode="External"/><Relationship Id="rId42" Type="http://schemas.openxmlformats.org/officeDocument/2006/relationships/hyperlink" Target="https://entra.microsoft.com/" TargetMode="External"/><Relationship Id="rId47" Type="http://schemas.openxmlformats.org/officeDocument/2006/relationships/hyperlink" Target="https://learn.microsoft.com/en-us/power-apps/teams/overview-data-platform" TargetMode="External"/><Relationship Id="rId63" Type="http://schemas.openxmlformats.org/officeDocument/2006/relationships/hyperlink" Target="https://learn.microsoft.com/en-us/office365/servicedescriptions/visio-online-service-description/visio-online-service-description" TargetMode="External"/><Relationship Id="rId68" Type="http://schemas.openxmlformats.org/officeDocument/2006/relationships/hyperlink" Target="https://learn.microsoft.com/en-us/surface/" TargetMode="External"/><Relationship Id="rId2" Type="http://schemas.openxmlformats.org/officeDocument/2006/relationships/hyperlink" Target="https://docs.microsoft.com/en-us/azure/active-directory/hybrid/reference-connect-accounts-permissions" TargetMode="External"/><Relationship Id="rId16" Type="http://schemas.openxmlformats.org/officeDocument/2006/relationships/hyperlink" Target="https://entra.microsoft.com/" TargetMode="External"/><Relationship Id="rId29" Type="http://schemas.openxmlformats.org/officeDocument/2006/relationships/hyperlink" Target="https://learn.microsoft.com/en-us/microsoftteams/calling-plans-for-office-365" TargetMode="External"/><Relationship Id="rId11" Type="http://schemas.openxmlformats.org/officeDocument/2006/relationships/hyperlink" Target="https://docs.microsoft.com/en-us/azure/active-directory/roles/delegate-by-task" TargetMode="External"/><Relationship Id="rId24" Type="http://schemas.openxmlformats.org/officeDocument/2006/relationships/hyperlink" Target="https://learn.microsoft.com/en-us/viva/connections/viva-connections-overview" TargetMode="External"/><Relationship Id="rId32" Type="http://schemas.openxmlformats.org/officeDocument/2006/relationships/hyperlink" Target="https://learn.microsoft.com/en-us/microsoftteams/manage-virtual-appointments-app" TargetMode="External"/><Relationship Id="rId37" Type="http://schemas.openxmlformats.org/officeDocument/2006/relationships/hyperlink" Target="https://admin.microsoft.com/" TargetMode="External"/><Relationship Id="rId40" Type="http://schemas.openxmlformats.org/officeDocument/2006/relationships/hyperlink" Target="https://entra.microsoft.com/" TargetMode="External"/><Relationship Id="rId45" Type="http://schemas.openxmlformats.org/officeDocument/2006/relationships/hyperlink" Target="https://entra.microsoft.com/" TargetMode="External"/><Relationship Id="rId53" Type="http://schemas.openxmlformats.org/officeDocument/2006/relationships/hyperlink" Target="https://learn.microsoft.com/en-us/viva/topics/topic-experiences-overview" TargetMode="External"/><Relationship Id="rId58" Type="http://schemas.openxmlformats.org/officeDocument/2006/relationships/hyperlink" Target="https://support.microsoft.com/en-us/microsoft-lists" TargetMode="External"/><Relationship Id="rId66" Type="http://schemas.openxmlformats.org/officeDocument/2006/relationships/hyperlink" Target="https://learn.microsoft.com/en-us/project/" TargetMode="External"/><Relationship Id="rId74" Type="http://schemas.openxmlformats.org/officeDocument/2006/relationships/printerSettings" Target="../printerSettings/printerSettings6.bin"/><Relationship Id="rId5" Type="http://schemas.openxmlformats.org/officeDocument/2006/relationships/hyperlink" Target="https://docs.microsoft.com/en-us/azure/active-directory/roles/permissions-reference" TargetMode="External"/><Relationship Id="rId61" Type="http://schemas.openxmlformats.org/officeDocument/2006/relationships/hyperlink" Target="https://support.microsoft.com/en-us/clipchamp" TargetMode="External"/><Relationship Id="rId19" Type="http://schemas.openxmlformats.org/officeDocument/2006/relationships/hyperlink" Target="https://entra.microsoft.com/" TargetMode="External"/><Relationship Id="rId14" Type="http://schemas.openxmlformats.org/officeDocument/2006/relationships/hyperlink" Target="https://endpoint.microsoft.com/" TargetMode="External"/><Relationship Id="rId22" Type="http://schemas.openxmlformats.org/officeDocument/2006/relationships/hyperlink" Target="https://security.microsoft.com/" TargetMode="External"/><Relationship Id="rId27" Type="http://schemas.openxmlformats.org/officeDocument/2006/relationships/hyperlink" Target="https://learn.microsoft.com/en-us/microsoftteams/manage-apps" TargetMode="External"/><Relationship Id="rId30" Type="http://schemas.openxmlformats.org/officeDocument/2006/relationships/hyperlink" Target="https://support.microsoft.com/en-us/office/what-you-can-do-in-the-office-apps-on-mobile-devices-with-a-microsoft-365-subscription-9ef8b63a-05fd-4f9c-bac5-29da046833ea" TargetMode="External"/><Relationship Id="rId35" Type="http://schemas.openxmlformats.org/officeDocument/2006/relationships/hyperlink" Target="https://learn.microsoft.com/en-us/microsoftteams/calling-plans-for-office-365" TargetMode="External"/><Relationship Id="rId43" Type="http://schemas.openxmlformats.org/officeDocument/2006/relationships/hyperlink" Target="https://entra.microsoft.com/" TargetMode="External"/><Relationship Id="rId48" Type="http://schemas.openxmlformats.org/officeDocument/2006/relationships/hyperlink" Target="https://learn.microsoft.com/en-us/microsoftteams/teams-analytics-and-reports/teams-reporting-reference" TargetMode="External"/><Relationship Id="rId56" Type="http://schemas.openxmlformats.org/officeDocument/2006/relationships/hyperlink" Target="https://learn.microsoft.com/en-us/viva/engage/overview" TargetMode="External"/><Relationship Id="rId64" Type="http://schemas.openxmlformats.org/officeDocument/2006/relationships/hyperlink" Target="https://support.microsoft.com/en-us/office/project-training-63f1db89-1ee0-4113-bedc-03fc5ec6223a" TargetMode="External"/><Relationship Id="rId69" Type="http://schemas.openxmlformats.org/officeDocument/2006/relationships/hyperlink" Target="https://docs.microsoft.com/en-us/exchange/permissions-exo/permissions-exo" TargetMode="External"/><Relationship Id="rId8" Type="http://schemas.openxmlformats.org/officeDocument/2006/relationships/hyperlink" Target="https://docs.microsoft.com/en-us/azure/active-directory/roles/delegate-by-task" TargetMode="External"/><Relationship Id="rId51" Type="http://schemas.openxmlformats.org/officeDocument/2006/relationships/hyperlink" Target="https://learn.microsoft.com/en-us/microsoftteams/rooms/rooms-deploy" TargetMode="External"/><Relationship Id="rId72" Type="http://schemas.openxmlformats.org/officeDocument/2006/relationships/hyperlink" Target="https://docs.microsoft.com/en-us/learn/modules/deploy-microsoft-365-apps-for-enterprise/" TargetMode="External"/><Relationship Id="rId3" Type="http://schemas.openxmlformats.org/officeDocument/2006/relationships/hyperlink" Target="https://docs.microsoft.com/en-us/azure/active-directory/roles/permissions-reference" TargetMode="External"/><Relationship Id="rId12" Type="http://schemas.openxmlformats.org/officeDocument/2006/relationships/hyperlink" Target="https://entra.microsoft.com/" TargetMode="External"/><Relationship Id="rId17" Type="http://schemas.openxmlformats.org/officeDocument/2006/relationships/hyperlink" Target="https://entra.microsoft.com/" TargetMode="External"/><Relationship Id="rId25" Type="http://schemas.openxmlformats.org/officeDocument/2006/relationships/hyperlink" Target="https://docs.microsoft.com/en-us/microsoft-365/contentunderstanding/" TargetMode="External"/><Relationship Id="rId33" Type="http://schemas.openxmlformats.org/officeDocument/2006/relationships/hyperlink" Target="https://learn.microsoft.com/en-us/viva/goals/intro-to-ms-viva-goals" TargetMode="External"/><Relationship Id="rId38" Type="http://schemas.openxmlformats.org/officeDocument/2006/relationships/hyperlink" Target="https://admin.microsoft.com/" TargetMode="External"/><Relationship Id="rId46" Type="http://schemas.openxmlformats.org/officeDocument/2006/relationships/hyperlink" Target="https://entra.microsoft.com/" TargetMode="External"/><Relationship Id="rId59" Type="http://schemas.openxmlformats.org/officeDocument/2006/relationships/hyperlink" Target="https://learn.microsoft.com/en-us/power-apps/powerapps-overview" TargetMode="External"/><Relationship Id="rId67" Type="http://schemas.openxmlformats.org/officeDocument/2006/relationships/hyperlink" Target="https://learn.microsoft.com/en-us/surface-hub/" TargetMode="External"/><Relationship Id="rId20" Type="http://schemas.openxmlformats.org/officeDocument/2006/relationships/hyperlink" Target="https://entra.microsoft.com/" TargetMode="External"/><Relationship Id="rId41" Type="http://schemas.openxmlformats.org/officeDocument/2006/relationships/hyperlink" Target="https://admin.microsoft.com/" TargetMode="External"/><Relationship Id="rId54" Type="http://schemas.openxmlformats.org/officeDocument/2006/relationships/hyperlink" Target="https://learn.microsoft.com/en-us/viva/insights/introduction" TargetMode="External"/><Relationship Id="rId62" Type="http://schemas.openxmlformats.org/officeDocument/2006/relationships/hyperlink" Target="https://learn.microsoft.com/en-us/office365/servicedescriptions/visio-online-service-description/visio-online-service-description" TargetMode="External"/><Relationship Id="rId70" Type="http://schemas.openxmlformats.org/officeDocument/2006/relationships/hyperlink" Target="https://docs.microsoft.com/en-us/sharepoint/sharepoint-admin-role" TargetMode="External"/><Relationship Id="rId75" Type="http://schemas.openxmlformats.org/officeDocument/2006/relationships/vmlDrawing" Target="../drawings/vmlDrawing3.vml"/><Relationship Id="rId1" Type="http://schemas.openxmlformats.org/officeDocument/2006/relationships/hyperlink" Target="https://docs.microsoft.com/en-us/azure/active-directory/hybrid/reference-connect-accounts-permissions" TargetMode="External"/><Relationship Id="rId6" Type="http://schemas.openxmlformats.org/officeDocument/2006/relationships/hyperlink" Target="https://docs.microsoft.com/en-us/azure/active-directory/roles/delegate-by-task" TargetMode="External"/><Relationship Id="rId15" Type="http://schemas.openxmlformats.org/officeDocument/2006/relationships/hyperlink" Target="https://entra.microsoft.com/" TargetMode="External"/><Relationship Id="rId23" Type="http://schemas.openxmlformats.org/officeDocument/2006/relationships/hyperlink" Target="https://entra.microsoft.com/" TargetMode="External"/><Relationship Id="rId28" Type="http://schemas.openxmlformats.org/officeDocument/2006/relationships/hyperlink" Target="https://learn.microsoft.com/en-us/microsoftteams/audio-conferencing-in-office-365" TargetMode="External"/><Relationship Id="rId36" Type="http://schemas.openxmlformats.org/officeDocument/2006/relationships/hyperlink" Target="https://entra.microsoft.com/" TargetMode="External"/><Relationship Id="rId49" Type="http://schemas.openxmlformats.org/officeDocument/2006/relationships/hyperlink" Target="https://learn.microsoft.com/en-us/microsoftteams/meeting-webinar-town-hall-feature-comparison" TargetMode="External"/><Relationship Id="rId57" Type="http://schemas.openxmlformats.org/officeDocument/2006/relationships/hyperlink" Target="https://learn.microsoft.com/en-us/power-automate/getting-started" TargetMode="External"/><Relationship Id="rId10" Type="http://schemas.openxmlformats.org/officeDocument/2006/relationships/hyperlink" Target="https://docs.microsoft.com/en-us/azure/active-directory/roles/delegate-by-task" TargetMode="External"/><Relationship Id="rId31" Type="http://schemas.openxmlformats.org/officeDocument/2006/relationships/hyperlink" Target="https://learn.microsoft.com/en-us/power-bi/fundamentals/power-bi-overview" TargetMode="External"/><Relationship Id="rId44" Type="http://schemas.openxmlformats.org/officeDocument/2006/relationships/hyperlink" Target="https://entra.microsoft.com/" TargetMode="External"/><Relationship Id="rId52" Type="http://schemas.openxmlformats.org/officeDocument/2006/relationships/hyperlink" Target="https://support.microsoft.com/en-us/teams" TargetMode="External"/><Relationship Id="rId60" Type="http://schemas.openxmlformats.org/officeDocument/2006/relationships/hyperlink" Target="https://learn.microsoft.com/en-us/microsoftteams/manage-virtual-appointments-app" TargetMode="External"/><Relationship Id="rId65" Type="http://schemas.openxmlformats.org/officeDocument/2006/relationships/hyperlink" Target="https://learn.microsoft.com/en-us/project/" TargetMode="External"/><Relationship Id="rId73" Type="http://schemas.openxmlformats.org/officeDocument/2006/relationships/hyperlink" Target="https://endpoint.microsoft.com/" TargetMode="External"/><Relationship Id="rId4" Type="http://schemas.openxmlformats.org/officeDocument/2006/relationships/hyperlink" Target="https://docs.microsoft.com/en-us/azure/active-directory/roles/permissions-reference" TargetMode="External"/><Relationship Id="rId9" Type="http://schemas.openxmlformats.org/officeDocument/2006/relationships/hyperlink" Target="https://docs.microsoft.com/en-us/azure/active-directory/roles/permissions-reference" TargetMode="External"/><Relationship Id="rId13" Type="http://schemas.openxmlformats.org/officeDocument/2006/relationships/hyperlink" Target="https://entra.microsoft.com/" TargetMode="External"/><Relationship Id="rId18" Type="http://schemas.openxmlformats.org/officeDocument/2006/relationships/hyperlink" Target="https://entra.microsoft.com/" TargetMode="External"/><Relationship Id="rId39" Type="http://schemas.openxmlformats.org/officeDocument/2006/relationships/hyperlink" Target="https://support.microsoft.com/en-us/office/what-is-shifts-f8efe6e4-ddb3-4d23-b81b-bb812296b821" TargetMode="External"/><Relationship Id="rId34" Type="http://schemas.openxmlformats.org/officeDocument/2006/relationships/hyperlink" Target="https://learn.microsoft.com/en-us/microsoft-365/frontline/browser-join?view=o365-worldwide" TargetMode="External"/><Relationship Id="rId50" Type="http://schemas.openxmlformats.org/officeDocument/2006/relationships/hyperlink" Target="https://learn.microsoft.com/en-US/microsoftteams/meeting-recording?tabs=meeting-policy" TargetMode="External"/><Relationship Id="rId55" Type="http://schemas.openxmlformats.org/officeDocument/2006/relationships/hyperlink" Target="https://learn.microsoft.com/en-us/viva/connections/viva-connections-overview" TargetMode="External"/><Relationship Id="rId76" Type="http://schemas.openxmlformats.org/officeDocument/2006/relationships/comments" Target="../comments3.xml"/><Relationship Id="rId7" Type="http://schemas.openxmlformats.org/officeDocument/2006/relationships/hyperlink" Target="https://docs.microsoft.com/en-us/azure/defender-for-cloud/permissions" TargetMode="External"/><Relationship Id="rId71" Type="http://schemas.openxmlformats.org/officeDocument/2006/relationships/hyperlink" Target="https://docs.microsoft.com/en-us/sharepoint/sharepoint-admin-ro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7FCA-1CBA-4AAF-9F7E-A0DF85ACC863}">
  <sheetPr codeName="Sheet1"/>
  <dimension ref="A1:B2"/>
  <sheetViews>
    <sheetView zoomScale="150" zoomScaleNormal="150" workbookViewId="0">
      <selection activeCell="B2" sqref="B2"/>
    </sheetView>
  </sheetViews>
  <sheetFormatPr defaultRowHeight="14.25" x14ac:dyDescent="0.45"/>
  <cols>
    <col min="1" max="1" width="26.59765625" bestFit="1" customWidth="1"/>
    <col min="2" max="2" width="16.3984375" bestFit="1" customWidth="1"/>
  </cols>
  <sheetData>
    <row r="1" spans="1:2" x14ac:dyDescent="0.45">
      <c r="A1" t="s">
        <v>0</v>
      </c>
    </row>
    <row r="2" spans="1:2" x14ac:dyDescent="0.45">
      <c r="A2" t="s">
        <v>1</v>
      </c>
      <c r="B2" t="s">
        <v>1172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4FB48D5-7583-43ED-889F-9AD419559A8D}">
          <x14:formula1>
            <xm:f>'Data Validations'!$E$1:$E$3</xm:f>
          </x14:formula1>
          <xm:sqref>B2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5AD5-E28A-44C8-A2F8-80F76B68CBB7}">
  <sheetPr codeName="Sheet2"/>
  <dimension ref="B2:AB121"/>
  <sheetViews>
    <sheetView showGridLines="0" zoomScale="130" zoomScaleNormal="150" workbookViewId="0"/>
  </sheetViews>
  <sheetFormatPr defaultRowHeight="14.25" x14ac:dyDescent="0.45"/>
  <cols>
    <col min="1" max="1" width="3.59765625" customWidth="1"/>
    <col min="2" max="2" width="9.265625" customWidth="1"/>
    <col min="8" max="8" width="4.1328125" customWidth="1"/>
    <col min="15" max="15" width="4.1328125" customWidth="1"/>
    <col min="16" max="16" width="9.265625" customWidth="1"/>
    <col min="22" max="22" width="4.1328125" customWidth="1"/>
  </cols>
  <sheetData>
    <row r="2" spans="2:28" ht="26.85" customHeight="1" x14ac:dyDescent="0.45">
      <c r="B2" s="341" t="s">
        <v>1279</v>
      </c>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row>
    <row r="4" spans="2:28" x14ac:dyDescent="0.45">
      <c r="B4" s="138" t="s">
        <v>1432</v>
      </c>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row>
    <row r="5" spans="2:28" ht="6.95" customHeight="1" x14ac:dyDescent="0.45"/>
    <row r="6" spans="2:28" x14ac:dyDescent="0.45">
      <c r="B6" s="128"/>
      <c r="C6" t="s">
        <v>3</v>
      </c>
    </row>
    <row r="7" spans="2:28" x14ac:dyDescent="0.45">
      <c r="B7" s="134"/>
      <c r="C7" t="s">
        <v>1439</v>
      </c>
    </row>
    <row r="8" spans="2:28" x14ac:dyDescent="0.45">
      <c r="B8" s="131"/>
      <c r="C8" t="s">
        <v>1440</v>
      </c>
    </row>
    <row r="10" spans="2:28" x14ac:dyDescent="0.45">
      <c r="B10" s="241" t="s">
        <v>4</v>
      </c>
      <c r="C10" s="241"/>
      <c r="D10" s="241"/>
      <c r="E10" s="241"/>
      <c r="F10" s="242"/>
      <c r="G10" s="242"/>
      <c r="H10" s="242"/>
      <c r="I10" s="242"/>
      <c r="J10" s="242"/>
      <c r="K10" s="242"/>
      <c r="L10" s="242"/>
      <c r="M10" s="242"/>
      <c r="N10" s="242"/>
      <c r="O10" s="242"/>
      <c r="P10" s="242"/>
      <c r="Q10" s="242"/>
      <c r="R10" s="242"/>
      <c r="S10" s="242"/>
      <c r="T10" s="242"/>
      <c r="U10" s="242"/>
      <c r="V10" s="242"/>
      <c r="W10" s="242"/>
      <c r="X10" s="242"/>
      <c r="Y10" s="242"/>
      <c r="Z10" s="242"/>
      <c r="AA10" s="242"/>
      <c r="AB10" s="242"/>
    </row>
    <row r="11" spans="2:28" ht="18" x14ac:dyDescent="0.45">
      <c r="C11" s="133" t="s">
        <v>5</v>
      </c>
      <c r="J11" t="s">
        <v>6</v>
      </c>
      <c r="R11" t="s">
        <v>7</v>
      </c>
      <c r="X11" t="s">
        <v>8</v>
      </c>
    </row>
    <row r="12" spans="2:28" x14ac:dyDescent="0.45">
      <c r="C12" t="s">
        <v>9</v>
      </c>
      <c r="D12" s="127" cm="1">
        <f t="array" ref="D12">SUM(COUNTIFS('SCIMP Plan'!F3:F241,{"D","W"},'SCIMP Plan'!C3:C241,"Product") + COUNTIFS('SCIMP Plan'!F3:F241,{"D","W"},'SCIMP Plan'!C3:C241,"Feature"))</f>
        <v>0</v>
      </c>
      <c r="J12" t="s">
        <v>10</v>
      </c>
      <c r="K12" s="127" cm="1">
        <f t="array" ref="K12">SUM(COUNTIFS('SCIMP Plan'!F3:F241,{"D","W"},'SCIMP Plan'!B3:B241,"*M365 E3*",'SCIMP Plan'!C3:C241,"Feature") + COUNTIFS('SCIMP Plan'!F3:F241,{"D","W"},'SCIMP Plan'!B3:B241,"*M365 E3*",'SCIMP Plan'!C3:C241,"Product"))</f>
        <v>0</v>
      </c>
      <c r="R12" t="s">
        <v>11</v>
      </c>
      <c r="S12" s="127" cm="1">
        <f t="array" ref="S12">SUM(COUNTIFS('SCIMP Plan'!F3:F241,{"D","W"},'SCIMP Plan'!B3:B241,"*M365 Defender*",'SCIMP Plan'!C3:C241,"Feature") + COUNTIFS('SCIMP Plan'!F3:F241,{"D","W"},'SCIMP Plan'!B3:B241,"*M365 Purview*",'SCIMP Plan'!C3:C241,"Product"))</f>
        <v>0</v>
      </c>
      <c r="X12" t="s">
        <v>12</v>
      </c>
      <c r="Y12" s="127" cm="1">
        <f t="array" ref="Y12">SUM(COUNTIFS('SCIMP Plan'!F3:F241,{"D","W"},'SCIMP Plan'!B3:B241,"*Azure*",'SCIMP Plan'!C3:C241,"Feature") + COUNTIFS('SCIMP Plan'!F3:F241,{"D","W"},'SCIMP Plan'!B3:B241,"*Azure*",'SCIMP Plan'!C3:C241,"Product"))</f>
        <v>0</v>
      </c>
    </row>
    <row r="13" spans="2:28" x14ac:dyDescent="0.45">
      <c r="C13" t="s">
        <v>13</v>
      </c>
      <c r="D13" s="129" cm="1">
        <f t="array" ref="D13">SUM(COUNTIFS('SCIMP Plan'!F3:F241,{"1","2","3"},'SCIMP Plan'!C3:C241,"Product") + COUNTIFS('SCIMP Plan'!F3:F241,{"1","2","3"},'SCIMP Plan'!C3:C241,"Feature"))</f>
        <v>0</v>
      </c>
      <c r="J13" t="s">
        <v>14</v>
      </c>
      <c r="K13" s="128" cm="1">
        <f t="array" ref="K13">SUM(COUNTIFS('SCIMP Plan'!F3:F241,{"1","2","3"},'SCIMP Plan'!B3:B241,"*M365 E3*",'SCIMP Plan'!C3:C241,"Feature") + COUNTIFS('SCIMP Plan'!F3:F241,{"1","2","3"},'SCIMP Plan'!B3:B241,"*M365 E3*",'SCIMP Plan'!C3:C241,"Product"))</f>
        <v>0</v>
      </c>
      <c r="R13" t="s">
        <v>15</v>
      </c>
      <c r="S13" s="128" cm="1">
        <f t="array" ref="S13">SUM(COUNTIFS('SCIMP Plan'!F3:F241,{"1","2","3"},'SCIMP Plan'!B3:B241,"*M365 Defender*",'SCIMP Plan'!C3:C241,"Feature") + COUNTIFS('SCIMP Plan'!F3:F241,{"1","2","3"},'SCIMP Plan'!B3:B241,"*M365 Purview*",'SCIMP Plan'!C3:C241,"Product")+ COUNTIFS('SCIMP Plan'!F3:F241,{"1","2","3"},'SCIMP Plan'!B3:B241,"*M365 E5*",'SCIMP Plan'!C3:C241,"Product"))</f>
        <v>0</v>
      </c>
      <c r="X13" t="s">
        <v>16</v>
      </c>
      <c r="Y13" s="128" cm="1">
        <f t="array" ref="Y13">SUM(COUNTIFS('SCIMP Plan'!F3:F241,{"1","2","3"},'SCIMP Plan'!B3:B241,"*Azure*",'SCIMP Plan'!C3:C241,"Feature") + COUNTIFS('SCIMP Plan'!F3:F241,{"1","2","3"},'SCIMP Plan'!B3:B241,"*Azure*",'SCIMP Plan'!C3:C241,"Product"))</f>
        <v>0</v>
      </c>
    </row>
    <row r="14" spans="2:28" x14ac:dyDescent="0.45">
      <c r="C14" t="s">
        <v>17</v>
      </c>
      <c r="D14" s="132" cm="1">
        <f t="array" ref="D14">SUM(COUNTIFS('SCIMP Plan'!F3:F241,{"-","4"},'SCIMP Plan'!C3:C241,"Product") + COUNTIFS('SCIMP Plan'!F3:F241,{"-","4"},'SCIMP Plan'!C3:C241,"Feature"))</f>
        <v>151</v>
      </c>
      <c r="J14" t="s">
        <v>18</v>
      </c>
      <c r="K14" s="136" cm="1">
        <f t="array" ref="K14">SUM(COUNTIFS('SCIMP Plan'!F3:F241,{"-","4"},'SCIMP Plan'!B3:B241,"*M365 E3*",'SCIMP Plan'!C3:C241,"Feature") + COUNTIFS('SCIMP Plan'!F3:F241,{"-","4"},'SCIMP Plan'!B3:B241,"*M365 E3*",'SCIMP Plan'!C3:C241,"Product"))</f>
        <v>58</v>
      </c>
      <c r="R14" t="s">
        <v>19</v>
      </c>
      <c r="S14" s="131" cm="1">
        <f t="array" ref="S14">SUM(COUNTIFS('SCIMP Plan'!F3:F241,{"-","4"},'SCIMP Plan'!B3:B241,"*M365 Defender*",'SCIMP Plan'!C3:C241,"Feature") + COUNTIFS('SCIMP Plan'!F3:F241,{"-","4"},'SCIMP Plan'!B3:B241,"*M365 Purview*",'SCIMP Plan'!C3:C241,"Product"))</f>
        <v>37</v>
      </c>
      <c r="X14" t="s">
        <v>20</v>
      </c>
      <c r="Y14" s="131" cm="1">
        <f t="array" ref="Y14">SUM(COUNTIFS('SCIMP Plan'!F3:F241,{"-","4"},'SCIMP Plan'!B3:B241,"*Azure*",'SCIMP Plan'!C3:C241,"Feature") + COUNTIFS('SCIMP Plan'!F3:F241,{"-","4"},'SCIMP Plan'!B3:B241,"*Azure*",'SCIMP Plan'!C3:C241,"Product"))</f>
        <v>31</v>
      </c>
    </row>
    <row r="15" spans="2:28" x14ac:dyDescent="0.45">
      <c r="K15" t="s">
        <v>21</v>
      </c>
      <c r="S15" t="s">
        <v>22</v>
      </c>
      <c r="Y15" t="s">
        <v>23</v>
      </c>
    </row>
    <row r="16" spans="2:28" x14ac:dyDescent="0.45">
      <c r="S16" s="137"/>
      <c r="Y16" s="137"/>
    </row>
    <row r="21" spans="2:28" ht="6.95" customHeight="1" x14ac:dyDescent="0.45"/>
    <row r="25" spans="2:28" ht="22.7" customHeight="1" x14ac:dyDescent="0.45"/>
    <row r="27" spans="2:28" x14ac:dyDescent="0.45">
      <c r="B27" s="241" t="s">
        <v>24</v>
      </c>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row>
    <row r="31" spans="2:28" x14ac:dyDescent="0.45">
      <c r="C31" t="s">
        <v>25</v>
      </c>
      <c r="J31" t="s">
        <v>26</v>
      </c>
      <c r="P31" t="s">
        <v>27</v>
      </c>
    </row>
    <row r="32" spans="2:28" x14ac:dyDescent="0.45">
      <c r="C32" t="s">
        <v>28</v>
      </c>
      <c r="D32" cm="1">
        <f t="array" ref="D32">SUM(COUNTIFS('SCIMP Plan'!F3:F241,{"D","W"},'SCIMP Plan'!B3:B241,{"*M365 Defender*"},'SCIMP Plan'!C3:C241,'Data Validations'!D2) + COUNTIFS('SCIMP Plan'!F3:F241,{"D","W"},'SCIMP Plan'!B3:B241,{"*M365 Purview*"},'SCIMP Plan'!C3:C241,'Data Validations'!D2))</f>
        <v>0</v>
      </c>
      <c r="J32" t="s">
        <v>28</v>
      </c>
      <c r="K32" cm="1">
        <f t="array" ref="K32">SUM(COUNTIFS('SCIMP Plan'!F3:F241,{"D","W"},'SCIMP Plan'!B3:B241,{"*M365 Defender*"},'SCIMP Plan'!C3:C241,'Data Validations'!D3) + COUNTIFS('SCIMP Plan'!F3:F241,{"D","W"},'SCIMP Plan'!B3:B241,{"*M365 Purview*"},'SCIMP Plan'!C3:C241,'Data Validations'!D3))</f>
        <v>0</v>
      </c>
    </row>
    <row r="33" spans="2:28" x14ac:dyDescent="0.45">
      <c r="C33" t="s">
        <v>29</v>
      </c>
      <c r="D33" cm="1">
        <f t="array" ref="D33">SUM(COUNTIFS('SCIMP Plan'!F3:F241,{"1","2","3"},'SCIMP Plan'!B3:B241,{"*M365 Defender*"},'SCIMP Plan'!C3:C241,'Data Validations'!D2) + COUNTIFS('SCIMP Plan'!F3:F241,{"1","2","3"},'SCIMP Plan'!B3:B241,{"*M365 Purview"},'SCIMP Plan'!C3:C241,'Data Validations'!D2))</f>
        <v>0</v>
      </c>
      <c r="J33" t="s">
        <v>29</v>
      </c>
      <c r="K33" cm="1">
        <f t="array" ref="K33">SUM(COUNTIFS('SCIMP Plan'!F3:F241,{"1","2","3"},'SCIMP Plan'!B3:B241,{"*M365 Defender*"},'SCIMP Plan'!C3:C241,'Data Validations'!D3) + COUNTIFS('SCIMP Plan'!F3:F241,{"1","2","3"},'SCIMP Plan'!B3:B241,{"*M365 Purview*"},'SCIMP Plan'!C3:C241,'Data Validations'!D3))</f>
        <v>0</v>
      </c>
      <c r="P33" t="s">
        <v>30</v>
      </c>
    </row>
    <row r="34" spans="2:28" x14ac:dyDescent="0.45">
      <c r="C34" t="s">
        <v>31</v>
      </c>
      <c r="D34" cm="1">
        <f t="array" ref="D34">SUM(COUNTIFS('SCIMP Plan'!F3:F241,{"-","4"},'SCIMP Plan'!B3:B241,{"*M365 Defender*"},'SCIMP Plan'!C3:C241,'Data Validations'!D2) + COUNTIFS('SCIMP Plan'!F3:F241,{"-","4"},'SCIMP Plan'!B3:B241,{"*M365 Purview*"},'SCIMP Plan'!C3:C241,'Data Validations'!D2))</f>
        <v>39</v>
      </c>
      <c r="J34" t="s">
        <v>31</v>
      </c>
      <c r="K34" cm="1">
        <f t="array" ref="K34">SUM(COUNTIFS('SCIMP Plan'!F3:F241,{"-","4"},'SCIMP Plan'!B3:B241,{"*M365 Defender*"},'SCIMP Plan'!C3:C241,'Data Validations'!D3) + COUNTIFS('SCIMP Plan'!F3:F241,{"-","4"},'SCIMP Plan'!B3:B241,{"*M365 Purview*"},'SCIMP Plan'!C3:C241,'Data Validations'!D3))</f>
        <v>32</v>
      </c>
    </row>
    <row r="35" spans="2:28" x14ac:dyDescent="0.45">
      <c r="P35" t="s">
        <v>32</v>
      </c>
    </row>
    <row r="44" spans="2:28" x14ac:dyDescent="0.45">
      <c r="B44" s="241" t="s">
        <v>33</v>
      </c>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row>
    <row r="45" spans="2:28" x14ac:dyDescent="0.45">
      <c r="C45" t="s">
        <v>34</v>
      </c>
      <c r="K45" t="s">
        <v>35</v>
      </c>
    </row>
    <row r="46" spans="2:28" x14ac:dyDescent="0.45">
      <c r="C46" t="s">
        <v>28</v>
      </c>
      <c r="D46" cm="1">
        <f t="array" ref="D46">SUM(COUNTIFS('SCIMP Plan'!F3:F241,{"D","W"},'SCIMP Plan'!B3:B241,"*Defender*",'SCIMP Plan'!C3:C241,'Data Validations'!D2))</f>
        <v>0</v>
      </c>
      <c r="K46" t="s">
        <v>28</v>
      </c>
      <c r="L46" cm="1">
        <f t="array" ref="L46">SUM(COUNTIFS('SCIMP Plan'!F3:F241,{"D","W"},'SCIMP Plan'!B3:B241,"*Defender*",'SCIMP Plan'!C3:C241,'Data Validations'!D3))</f>
        <v>0</v>
      </c>
      <c r="R46" t="s">
        <v>36</v>
      </c>
    </row>
    <row r="47" spans="2:28" x14ac:dyDescent="0.45">
      <c r="C47" t="s">
        <v>29</v>
      </c>
      <c r="D47" cm="1">
        <f t="array" ref="D47">SUM(COUNTIFS('SCIMP Plan'!F3:F241,{"1","2","3"},'SCIMP Plan'!B3:B241,"*Defender*",'SCIMP Plan'!C3:C241,'Data Validations'!D2))</f>
        <v>0</v>
      </c>
      <c r="K47" t="s">
        <v>29</v>
      </c>
      <c r="L47" cm="1">
        <f t="array" ref="L47">SUM(COUNTIFS('SCIMP Plan'!F3:F241,{"1","2","3"},'SCIMP Plan'!B3:B241,"*Defender*",'SCIMP Plan'!C3:C241,'Data Validations'!D3))</f>
        <v>0</v>
      </c>
      <c r="R47" t="s">
        <v>28</v>
      </c>
      <c r="S47" cm="1">
        <f t="array" ref="S47">SUM(COUNTIFS('SCIMP Plan'!F3:F241,{"D","W"},'SCIMP Plan'!B3:B241,"*Purview*",'SCIMP Plan'!C3:C241,"Product"))</f>
        <v>0</v>
      </c>
      <c r="X47" t="s">
        <v>37</v>
      </c>
    </row>
    <row r="48" spans="2:28" x14ac:dyDescent="0.45">
      <c r="C48" t="s">
        <v>31</v>
      </c>
      <c r="D48" cm="1">
        <f t="array" ref="D48">SUM(COUNTIFS('SCIMP Plan'!F3:F241,{"-","4"},'SCIMP Plan'!B3:B241,"*Defender*",'SCIMP Plan'!C3:C241,'Data Validations'!D2))</f>
        <v>25</v>
      </c>
      <c r="K48" t="s">
        <v>31</v>
      </c>
      <c r="L48" cm="1">
        <f t="array" ref="L48">SUM(COUNTIFS('SCIMP Plan'!F3:F241,{"-","4"},'SCIMP Plan'!B3:B241,"*Defender*",'SCIMP Plan'!C3:C241,'Data Validations'!D3))</f>
        <v>21</v>
      </c>
      <c r="R48" t="s">
        <v>29</v>
      </c>
      <c r="S48" cm="1">
        <f t="array" ref="S48">SUM(COUNTIFS('SCIMP Plan'!F3:F241,{"1","2","3"},'SCIMP Plan'!B3:B241,"*Purview*",'SCIMP Plan'!C3:C241,"Product"))</f>
        <v>0</v>
      </c>
      <c r="X48" t="s">
        <v>28</v>
      </c>
      <c r="Y48" cm="1">
        <f t="array" ref="Y48">SUM(COUNTIFS('SCIMP Plan'!F3:F241,{"D","W"},'SCIMP Plan'!B3:B241,"*Purview*",'SCIMP Plan'!C3:C241,"feature"))</f>
        <v>0</v>
      </c>
    </row>
    <row r="49" spans="2:28" x14ac:dyDescent="0.45">
      <c r="R49" t="s">
        <v>31</v>
      </c>
      <c r="S49" cm="1">
        <f t="array" ref="S49">SUM(COUNTIFS('SCIMP Plan'!F3:F241,{"-","4"},'SCIMP Plan'!B3:B241,"*Purview*",'SCIMP Plan'!C3:C241,"Product"))</f>
        <v>16</v>
      </c>
      <c r="X49" t="s">
        <v>29</v>
      </c>
      <c r="Y49" cm="1">
        <f t="array" ref="Y49">SUM(COUNTIFS('SCIMP Plan'!F3:F241,{"1","2","3"},'SCIMP Plan'!B3:B241,"*Purview*",'SCIMP Plan'!C3:C241,"feature"))</f>
        <v>0</v>
      </c>
    </row>
    <row r="50" spans="2:28" x14ac:dyDescent="0.45">
      <c r="X50" t="s">
        <v>31</v>
      </c>
      <c r="Y50" cm="1">
        <f t="array" ref="Y50">SUM(COUNTIFS('SCIMP Plan'!F3:F241,{"-","4"},'SCIMP Plan'!B3:B241,"*Purview*",'SCIMP Plan'!C3:C241,"feature"))</f>
        <v>11</v>
      </c>
    </row>
    <row r="54" spans="2:28" ht="14.85" customHeight="1" x14ac:dyDescent="0.45"/>
    <row r="61" spans="2:28" x14ac:dyDescent="0.45">
      <c r="B61" s="241" t="s">
        <v>1433</v>
      </c>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c r="AA61" s="242"/>
      <c r="AB61" s="242"/>
    </row>
    <row r="64" spans="2:28" x14ac:dyDescent="0.45">
      <c r="D64" t="s">
        <v>38</v>
      </c>
      <c r="K64" t="s">
        <v>39</v>
      </c>
      <c r="S64" t="s">
        <v>40</v>
      </c>
    </row>
    <row r="65" spans="2:28" x14ac:dyDescent="0.45">
      <c r="D65" t="s">
        <v>28</v>
      </c>
      <c r="E65" cm="1">
        <f t="array" ref="E65">SUM(COUNTIFS('SCIMP Plan'!F3:F241,{"D","W"},'SCIMP Plan'!B3:B241,"*M365 E3*",'SCIMP Plan'!C3:C241,"Product"))</f>
        <v>0</v>
      </c>
      <c r="K65" t="s">
        <v>28</v>
      </c>
      <c r="L65" cm="1">
        <f t="array" ref="L65">SUM(COUNTIFS('SCIMP Plan'!F3:F241,{"D","W"},'SCIMP Plan'!B3:B241,"*M365 E3*",'SCIMP Plan'!C3:C241,"feature"))</f>
        <v>0</v>
      </c>
      <c r="S65" t="s">
        <v>28</v>
      </c>
      <c r="T65" cm="1">
        <f t="array" ref="T65">SUM(COUNTIFS('SCIMP Plan'!F3:F241,{"D","W"},'SCIMP Plan'!B3:B241,"*M365 E3*",'SCIMP Plan'!C3:C241,"Configuration") + COUNTIFS('SCIMP Plan'!F3:F241,{"D","W"},'SCIMP Plan'!B3:B241,"*M365 E3*",'SCIMP Plan'!C3:C241,"Consideration") + COUNTIFS('SCIMP Plan'!F3:F241,{"D","W"},'SCIMP Plan'!B3:B241,"*M365 E3*",'SCIMP Plan'!C3:C241,"Process") + COUNTIFS('SCIMP Plan'!F3:F241,{"D","W"},'SCIMP Plan'!B3:B241,"*M365 E3*",'SCIMP Plan'!C3:C241,"Suggestion"))</f>
        <v>0</v>
      </c>
    </row>
    <row r="66" spans="2:28" x14ac:dyDescent="0.45">
      <c r="D66" t="s">
        <v>29</v>
      </c>
      <c r="E66" cm="1">
        <f t="array" ref="E66">SUM(COUNTIFS('SCIMP Plan'!F3:F241,{"1","2","3"},'SCIMP Plan'!B3:B241,"*M365 E3*",'SCIMP Plan'!C3:C241,"Product"))</f>
        <v>0</v>
      </c>
      <c r="K66" t="s">
        <v>29</v>
      </c>
      <c r="L66" cm="1">
        <f t="array" ref="L66">SUM(COUNTIFS('SCIMP Plan'!F3:F241,{"1","2","3"},'SCIMP Plan'!B3:B241,"*M365 E3*",'SCIMP Plan'!C3:C241,"feature"))</f>
        <v>0</v>
      </c>
      <c r="S66" t="s">
        <v>29</v>
      </c>
      <c r="T66" cm="1">
        <f t="array" ref="T66">SUM(COUNTIFS('SCIMP Plan'!F3:F241,{"1","2","3"},'SCIMP Plan'!B3:B241,"*M365 E3*",'SCIMP Plan'!C3:C241,"Configuration") + COUNTIFS('SCIMP Plan'!F3:F241,{"1","2","3"},'SCIMP Plan'!B3:B241,"*M365 E3*",'SCIMP Plan'!C3:C241,"Consideration") + COUNTIFS('SCIMP Plan'!F3:F241,{"1","2","3"},'SCIMP Plan'!B3:B241,"*M365 E3*",'SCIMP Plan'!C3:C241,"Process") + COUNTIFS('SCIMP Plan'!F3:F241,{"1","2","3"},'SCIMP Plan'!B3:B241,"*M365 E3*",'SCIMP Plan'!C3:C241,"Suggestion"))</f>
        <v>0</v>
      </c>
    </row>
    <row r="67" spans="2:28" x14ac:dyDescent="0.45">
      <c r="D67" t="s">
        <v>31</v>
      </c>
      <c r="E67" cm="1">
        <f t="array" ref="E67">SUM(COUNTIFS('SCIMP Plan'!F3:F241,{"-","4"},'SCIMP Plan'!B3:B241,"*M365 E3*",'SCIMP Plan'!C3:C241,"Product"))</f>
        <v>17</v>
      </c>
      <c r="K67" t="s">
        <v>31</v>
      </c>
      <c r="L67" cm="1">
        <f t="array" ref="L67">SUM(COUNTIFS('SCIMP Plan'!F3:F241,{"-","4"},'SCIMP Plan'!B3:B241,"*M365 E3*",'SCIMP Plan'!C3:C241,"feature"))</f>
        <v>41</v>
      </c>
      <c r="S67" t="s">
        <v>31</v>
      </c>
      <c r="T67" cm="1">
        <f t="array" ref="T67">SUM(COUNTIFS('SCIMP Plan'!F3:F241,{"-","4"},'SCIMP Plan'!B3:B241,"*M365 E3*",'SCIMP Plan'!C3:C241,"Configuration") + COUNTIFS('SCIMP Plan'!F3:F241,{"-","4"},'SCIMP Plan'!B3:B241,"*M365 E3*",'SCIMP Plan'!C3:C241,"Consideration") + COUNTIFS('SCIMP Plan'!F3:F241,{"-","4"},'SCIMP Plan'!B3:B241,"*M365 E3*",'SCIMP Plan'!C3:C241,"Process") + COUNTIFS('SCIMP Plan'!F3:F241,{"-","4"},'SCIMP Plan'!B3:B241,"*M365 E3*",'SCIMP Plan'!C3:C241,"Suggestion"))</f>
        <v>39</v>
      </c>
    </row>
    <row r="79" spans="2:28" x14ac:dyDescent="0.45">
      <c r="B79" s="138" t="s">
        <v>41</v>
      </c>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row>
    <row r="82" spans="3:25" x14ac:dyDescent="0.45">
      <c r="C82" t="s">
        <v>42</v>
      </c>
      <c r="J82" t="s">
        <v>43</v>
      </c>
      <c r="Q82" t="s">
        <v>44</v>
      </c>
      <c r="X82" t="s">
        <v>45</v>
      </c>
    </row>
    <row r="83" spans="3:25" x14ac:dyDescent="0.45">
      <c r="C83" t="s">
        <v>46</v>
      </c>
      <c r="D83" s="127">
        <f>COUNTIF('SCIMP Plan'!F11:F73,"D")</f>
        <v>0</v>
      </c>
      <c r="J83" t="s">
        <v>46</v>
      </c>
      <c r="K83" s="127">
        <f>COUNTIF('SCIMP Plan'!F74:F123,"D")</f>
        <v>0</v>
      </c>
      <c r="Q83" t="s">
        <v>46</v>
      </c>
      <c r="R83" s="127">
        <f>COUNTIF('SCIMP Plan'!F124:F182,"D")</f>
        <v>0</v>
      </c>
      <c r="X83" t="s">
        <v>46</v>
      </c>
      <c r="Y83" s="127">
        <f>COUNTIF('SCIMP Plan'!F184:F241,"D")</f>
        <v>0</v>
      </c>
    </row>
    <row r="84" spans="3:25" x14ac:dyDescent="0.45">
      <c r="C84" t="s">
        <v>47</v>
      </c>
      <c r="D84" s="135">
        <f>COUNTIF('SCIMP Plan'!F11:F73,"W")</f>
        <v>0</v>
      </c>
      <c r="J84" t="s">
        <v>47</v>
      </c>
      <c r="K84" s="135">
        <f>COUNTIF('SCIMP Plan'!F74:F123,"W")</f>
        <v>0</v>
      </c>
      <c r="Q84" t="s">
        <v>47</v>
      </c>
      <c r="R84" s="135">
        <f>COUNTIF('SCIMP Plan'!F124:F182,"W")</f>
        <v>0</v>
      </c>
      <c r="X84" t="s">
        <v>47</v>
      </c>
      <c r="Y84" s="135">
        <f>COUNTIF('SCIMP Plan'!F184:F241,"W")</f>
        <v>0</v>
      </c>
    </row>
    <row r="85" spans="3:25" x14ac:dyDescent="0.45">
      <c r="C85" t="s">
        <v>48</v>
      </c>
      <c r="D85" s="128">
        <f>COUNTIF('SCIMP Plan'!F11:F73,"1")</f>
        <v>0</v>
      </c>
      <c r="J85" t="s">
        <v>48</v>
      </c>
      <c r="K85" s="128">
        <f>COUNTIF('SCIMP Plan'!F74:F123,"1")</f>
        <v>0</v>
      </c>
      <c r="Q85" t="s">
        <v>48</v>
      </c>
      <c r="R85" s="128">
        <f>COUNTIF('SCIMP Plan'!F124:F182,"1")</f>
        <v>0</v>
      </c>
      <c r="X85" t="s">
        <v>48</v>
      </c>
      <c r="Y85" s="128">
        <f>COUNTIF('SCIMP Plan'!F184:F241,"1")</f>
        <v>0</v>
      </c>
    </row>
    <row r="86" spans="3:25" x14ac:dyDescent="0.45">
      <c r="C86" t="s">
        <v>49</v>
      </c>
      <c r="D86" s="129">
        <f>COUNTIF('SCIMP Plan'!F11:F73,"2")</f>
        <v>0</v>
      </c>
      <c r="J86" t="s">
        <v>49</v>
      </c>
      <c r="K86" s="129">
        <f>COUNTIF('SCIMP Plan'!F74:F123,"2")</f>
        <v>0</v>
      </c>
      <c r="Q86" t="s">
        <v>49</v>
      </c>
      <c r="R86" s="129">
        <f>COUNTIF('SCIMP Plan'!F124:F182,"2")</f>
        <v>0</v>
      </c>
      <c r="X86" t="s">
        <v>49</v>
      </c>
      <c r="Y86" s="129">
        <f>COUNTIF('SCIMP Plan'!F184:F241,"2")</f>
        <v>0</v>
      </c>
    </row>
    <row r="87" spans="3:25" x14ac:dyDescent="0.45">
      <c r="C87" t="s">
        <v>50</v>
      </c>
      <c r="D87" s="130">
        <f>COUNTIF('SCIMP Plan'!F11:F73,"3")</f>
        <v>0</v>
      </c>
      <c r="J87" t="s">
        <v>50</v>
      </c>
      <c r="K87" s="130">
        <f>COUNTIF('SCIMP Plan'!F74:F123,"3")</f>
        <v>0</v>
      </c>
      <c r="Q87" t="s">
        <v>50</v>
      </c>
      <c r="R87" s="130">
        <f>COUNTIF('SCIMP Plan'!F124:F182,"3")</f>
        <v>0</v>
      </c>
      <c r="X87" t="s">
        <v>50</v>
      </c>
      <c r="Y87" s="130">
        <f>COUNTIF('SCIMP Plan'!F184:F241,"3")</f>
        <v>0</v>
      </c>
    </row>
    <row r="88" spans="3:25" x14ac:dyDescent="0.45">
      <c r="C88" t="s">
        <v>20</v>
      </c>
      <c r="D88" s="132" cm="1">
        <f t="array" ref="D88">SUM(COUNTIFS('SCIMP Plan'!F11:F73,{"4","-"}))</f>
        <v>55</v>
      </c>
      <c r="J88" t="s">
        <v>20</v>
      </c>
      <c r="K88" s="136" cm="1">
        <f t="array" ref="K88">SUM(COUNTIFS('SCIMP Plan'!F74:F123,{"4","-"}))</f>
        <v>41</v>
      </c>
      <c r="Q88" t="s">
        <v>51</v>
      </c>
      <c r="R88" s="136" cm="1">
        <f t="array" ref="R88">SUM(COUNTIFS('SCIMP Plan'!F124:F182,{"4","-"}))</f>
        <v>48</v>
      </c>
      <c r="X88" t="s">
        <v>20</v>
      </c>
      <c r="Y88" s="132" cm="1">
        <f t="array" ref="Y88">SUM(COUNTIF('SCIMP Plan'!F184:F241,{"4","-"}))</f>
        <v>51</v>
      </c>
    </row>
    <row r="97" spans="2:28" ht="14.65" customHeight="1" x14ac:dyDescent="0.45">
      <c r="B97" s="127"/>
      <c r="C97" t="s">
        <v>52</v>
      </c>
    </row>
    <row r="98" spans="2:28" x14ac:dyDescent="0.45">
      <c r="B98" s="135"/>
      <c r="C98" t="s">
        <v>1434</v>
      </c>
    </row>
    <row r="99" spans="2:28" x14ac:dyDescent="0.45">
      <c r="B99" s="128"/>
      <c r="C99" t="s">
        <v>1435</v>
      </c>
    </row>
    <row r="100" spans="2:28" x14ac:dyDescent="0.45">
      <c r="B100" s="134"/>
      <c r="C100" t="s">
        <v>1436</v>
      </c>
    </row>
    <row r="101" spans="2:28" x14ac:dyDescent="0.45">
      <c r="B101" s="130"/>
      <c r="C101" t="s">
        <v>1437</v>
      </c>
    </row>
    <row r="102" spans="2:28" x14ac:dyDescent="0.45">
      <c r="B102" s="131"/>
      <c r="C102" t="s">
        <v>1438</v>
      </c>
    </row>
    <row r="104" spans="2:28" x14ac:dyDescent="0.45">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row>
    <row r="105" spans="2:28" x14ac:dyDescent="0.45">
      <c r="B105" s="141" t="s">
        <v>53</v>
      </c>
    </row>
    <row r="106" spans="2:28" ht="14.65" thickBot="1" x14ac:dyDescent="0.5"/>
    <row r="107" spans="2:28" ht="14.65" customHeight="1" x14ac:dyDescent="0.45">
      <c r="I107" s="342" t="s">
        <v>1441</v>
      </c>
      <c r="J107" s="343"/>
      <c r="K107" s="343"/>
      <c r="L107" s="343"/>
      <c r="M107" s="343"/>
      <c r="N107" s="343"/>
      <c r="O107" s="343"/>
      <c r="P107" s="343"/>
      <c r="Q107" s="343"/>
      <c r="R107" s="343"/>
      <c r="S107" s="343"/>
      <c r="T107" s="343"/>
      <c r="U107" s="344"/>
    </row>
    <row r="108" spans="2:28" x14ac:dyDescent="0.45">
      <c r="I108" s="345"/>
      <c r="J108" s="346"/>
      <c r="K108" s="346"/>
      <c r="L108" s="346"/>
      <c r="M108" s="346"/>
      <c r="N108" s="346"/>
      <c r="O108" s="346"/>
      <c r="P108" s="346"/>
      <c r="Q108" s="346"/>
      <c r="R108" s="346"/>
      <c r="S108" s="346"/>
      <c r="T108" s="346"/>
      <c r="U108" s="347"/>
    </row>
    <row r="109" spans="2:28" x14ac:dyDescent="0.45">
      <c r="C109" t="s">
        <v>54</v>
      </c>
      <c r="I109" s="345"/>
      <c r="J109" s="346"/>
      <c r="K109" s="346"/>
      <c r="L109" s="346"/>
      <c r="M109" s="346"/>
      <c r="N109" s="346"/>
      <c r="O109" s="346"/>
      <c r="P109" s="346"/>
      <c r="Q109" s="346"/>
      <c r="R109" s="346"/>
      <c r="S109" s="346"/>
      <c r="T109" s="346"/>
      <c r="U109" s="347"/>
    </row>
    <row r="110" spans="2:28" x14ac:dyDescent="0.45">
      <c r="C110" t="s">
        <v>55</v>
      </c>
      <c r="D110">
        <f>COUNTIF('SCIMP Plan'!L3:L241,"Self")</f>
        <v>0</v>
      </c>
      <c r="I110" s="345"/>
      <c r="J110" s="346"/>
      <c r="K110" s="346"/>
      <c r="L110" s="346"/>
      <c r="M110" s="346"/>
      <c r="N110" s="346"/>
      <c r="O110" s="346"/>
      <c r="P110" s="346"/>
      <c r="Q110" s="346"/>
      <c r="R110" s="346"/>
      <c r="S110" s="346"/>
      <c r="T110" s="346"/>
      <c r="U110" s="347"/>
    </row>
    <row r="111" spans="2:28" x14ac:dyDescent="0.45">
      <c r="C111" t="s">
        <v>56</v>
      </c>
      <c r="D111">
        <f>COUNTIF('SCIMP Plan'!L3:L241,"FastTrack")</f>
        <v>0</v>
      </c>
      <c r="I111" s="345"/>
      <c r="J111" s="346"/>
      <c r="K111" s="346"/>
      <c r="L111" s="346"/>
      <c r="M111" s="346"/>
      <c r="N111" s="346"/>
      <c r="O111" s="346"/>
      <c r="P111" s="346"/>
      <c r="Q111" s="346"/>
      <c r="R111" s="346"/>
      <c r="S111" s="346"/>
      <c r="T111" s="346"/>
      <c r="U111" s="347"/>
    </row>
    <row r="112" spans="2:28" x14ac:dyDescent="0.45">
      <c r="C112" t="s">
        <v>57</v>
      </c>
      <c r="D112">
        <f>COUNTIF('SCIMP Plan'!L3:L241,"Unified Engagements")</f>
        <v>0</v>
      </c>
      <c r="I112" s="345"/>
      <c r="J112" s="346"/>
      <c r="K112" s="346"/>
      <c r="L112" s="346"/>
      <c r="M112" s="346"/>
      <c r="N112" s="346"/>
      <c r="O112" s="346"/>
      <c r="P112" s="346"/>
      <c r="Q112" s="346"/>
      <c r="R112" s="346"/>
      <c r="S112" s="346"/>
      <c r="T112" s="346"/>
      <c r="U112" s="347"/>
    </row>
    <row r="113" spans="3:21" x14ac:dyDescent="0.45">
      <c r="C113" t="s">
        <v>58</v>
      </c>
      <c r="D113">
        <f>COUNTIF('SCIMP Plan'!L3:L241,"CSA")</f>
        <v>0</v>
      </c>
      <c r="I113" s="345"/>
      <c r="J113" s="346"/>
      <c r="K113" s="346"/>
      <c r="L113" s="346"/>
      <c r="M113" s="346"/>
      <c r="N113" s="346"/>
      <c r="O113" s="346"/>
      <c r="P113" s="346"/>
      <c r="Q113" s="346"/>
      <c r="R113" s="346"/>
      <c r="S113" s="346"/>
      <c r="T113" s="346"/>
      <c r="U113" s="347"/>
    </row>
    <row r="114" spans="3:21" x14ac:dyDescent="0.45">
      <c r="C114" t="s">
        <v>59</v>
      </c>
      <c r="D114">
        <f>COUNTIF('SCIMP Plan'!L3:L241,"IDS (MCS)")</f>
        <v>0</v>
      </c>
      <c r="I114" s="345"/>
      <c r="J114" s="346"/>
      <c r="K114" s="346"/>
      <c r="L114" s="346"/>
      <c r="M114" s="346"/>
      <c r="N114" s="346"/>
      <c r="O114" s="346"/>
      <c r="P114" s="346"/>
      <c r="Q114" s="346"/>
      <c r="R114" s="346"/>
      <c r="S114" s="346"/>
      <c r="T114" s="346"/>
      <c r="U114" s="347"/>
    </row>
    <row r="115" spans="3:21" ht="14.65" thickBot="1" x14ac:dyDescent="0.5">
      <c r="C115" t="s">
        <v>60</v>
      </c>
      <c r="D115">
        <f>COUNTIF('SCIMP Plan'!L3:L241,"Partner")</f>
        <v>0</v>
      </c>
      <c r="I115" s="348"/>
      <c r="J115" s="349"/>
      <c r="K115" s="349"/>
      <c r="L115" s="349"/>
      <c r="M115" s="349"/>
      <c r="N115" s="349"/>
      <c r="O115" s="349"/>
      <c r="P115" s="349"/>
      <c r="Q115" s="349"/>
      <c r="R115" s="349"/>
      <c r="S115" s="349"/>
      <c r="T115" s="349"/>
      <c r="U115" s="350"/>
    </row>
    <row r="116" spans="3:21" x14ac:dyDescent="0.45">
      <c r="C116" t="s">
        <v>61</v>
      </c>
      <c r="I116" s="30"/>
      <c r="J116" s="30"/>
      <c r="K116" s="30"/>
      <c r="L116" s="30"/>
      <c r="M116" s="30"/>
      <c r="N116" s="30"/>
      <c r="O116" s="30"/>
      <c r="P116" s="30"/>
      <c r="Q116" s="30"/>
      <c r="R116" s="30"/>
    </row>
    <row r="117" spans="3:21" x14ac:dyDescent="0.45">
      <c r="I117" s="142"/>
      <c r="J117" s="4" t="s">
        <v>1442</v>
      </c>
      <c r="K117" s="30"/>
      <c r="L117" s="30"/>
      <c r="M117" s="30"/>
      <c r="N117" s="30"/>
      <c r="O117" s="30"/>
      <c r="P117" s="30"/>
      <c r="Q117" s="30"/>
      <c r="R117" s="30"/>
    </row>
    <row r="118" spans="3:21" x14ac:dyDescent="0.45">
      <c r="I118" s="143"/>
      <c r="J118" s="4" t="s">
        <v>1443</v>
      </c>
      <c r="K118" s="30"/>
      <c r="L118" s="30"/>
      <c r="M118" s="30"/>
      <c r="N118" s="30"/>
    </row>
    <row r="119" spans="3:21" x14ac:dyDescent="0.45">
      <c r="I119" s="144"/>
      <c r="J119" s="4" t="s">
        <v>62</v>
      </c>
      <c r="K119" s="30"/>
      <c r="L119" s="30"/>
      <c r="M119" s="30"/>
      <c r="N119" s="30"/>
    </row>
    <row r="120" spans="3:21" x14ac:dyDescent="0.45">
      <c r="I120" s="145"/>
      <c r="J120" s="4" t="s">
        <v>63</v>
      </c>
      <c r="K120" s="30"/>
      <c r="L120" s="30"/>
      <c r="M120" s="30"/>
      <c r="N120" s="30"/>
    </row>
    <row r="121" spans="3:21" x14ac:dyDescent="0.45">
      <c r="I121" s="30"/>
      <c r="J121" s="4" t="s">
        <v>64</v>
      </c>
      <c r="K121" s="30"/>
      <c r="L121" s="30"/>
      <c r="M121" s="30"/>
      <c r="N121" s="30"/>
    </row>
  </sheetData>
  <dataConsolidate/>
  <mergeCells count="2">
    <mergeCell ref="B2:AB2"/>
    <mergeCell ref="I107:U115"/>
  </mergeCells>
  <pageMargins left="0.7" right="0.7" top="0.75" bottom="0.75" header="0.3" footer="0.3"/>
  <pageSetup paperSize="9" orientation="portrait" verticalDpi="597" r:id="rId1"/>
  <drawing r:id="rId2"/>
  <extLst>
    <ext xmlns:x15="http://schemas.microsoft.com/office/spreadsheetml/2010/11/main" uri="{F7C9EE02-42E1-4005-9D12-6889AFFD525C}">
      <x15:webExtensions xmlns:xm="http://schemas.microsoft.com/office/excel/2006/main">
        <x15:webExtension appRef="{FBA15EF9-9340-4CC2-AEA1-4B4E5D01BFDA}">
          <xm:f>'Exec Summary'!$F$7</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DFA4-B054-4157-80F3-9774E5EF918C}">
  <sheetPr codeName="Sheet3"/>
  <dimension ref="B1:AF60"/>
  <sheetViews>
    <sheetView showGridLines="0" zoomScale="75" zoomScaleNormal="50" workbookViewId="0"/>
  </sheetViews>
  <sheetFormatPr defaultColWidth="9.265625" defaultRowHeight="14.65" x14ac:dyDescent="0.45"/>
  <cols>
    <col min="1" max="1" width="1.73046875" style="8" customWidth="1"/>
    <col min="2" max="2" width="9.265625" style="8"/>
    <col min="3" max="3" width="1.1328125" style="8" customWidth="1"/>
    <col min="4" max="4" width="9.265625" style="44" customWidth="1"/>
    <col min="5" max="5" width="3.1328125" style="8" customWidth="1"/>
    <col min="6" max="6" width="6.59765625" style="30" customWidth="1"/>
    <col min="7" max="7" width="30.1328125" style="42" customWidth="1"/>
    <col min="8" max="8" width="2.265625" style="43" customWidth="1"/>
    <col min="9" max="9" width="6.59765625" style="43" customWidth="1"/>
    <col min="10" max="10" width="30.1328125" style="42" customWidth="1"/>
    <col min="11" max="12" width="3.1328125" style="30" customWidth="1"/>
    <col min="13" max="13" width="6.59765625" style="30" customWidth="1"/>
    <col min="14" max="14" width="30.1328125" style="42" customWidth="1"/>
    <col min="15" max="15" width="2.265625" style="43" customWidth="1"/>
    <col min="16" max="16" width="6.59765625" style="43" customWidth="1"/>
    <col min="17" max="17" width="30.1328125" style="42" customWidth="1"/>
    <col min="18" max="19" width="3.1328125" style="30" customWidth="1"/>
    <col min="20" max="20" width="6.59765625" style="30" customWidth="1"/>
    <col min="21" max="21" width="30.1328125" style="42" customWidth="1"/>
    <col min="22" max="22" width="2.265625" style="30" customWidth="1"/>
    <col min="23" max="23" width="6.59765625" style="30" customWidth="1"/>
    <col min="24" max="24" width="30.1328125" style="42" customWidth="1"/>
    <col min="25" max="26" width="3.1328125" style="30" customWidth="1"/>
    <col min="27" max="27" width="6.59765625" style="30" customWidth="1"/>
    <col min="28" max="28" width="30.1328125" style="40" customWidth="1"/>
    <col min="29" max="29" width="2.265625" style="30" customWidth="1"/>
    <col min="30" max="30" width="6.59765625" style="30" customWidth="1"/>
    <col min="31" max="31" width="30.1328125" style="40" customWidth="1"/>
    <col min="32" max="32" width="3.1328125" style="8" customWidth="1"/>
    <col min="33" max="16384" width="9.265625" style="8"/>
  </cols>
  <sheetData>
    <row r="1" spans="2:32" ht="15" thickBot="1" x14ac:dyDescent="0.5"/>
    <row r="2" spans="2:32" customFormat="1" ht="17.25" x14ac:dyDescent="0.45">
      <c r="D2" s="52"/>
      <c r="E2" s="195"/>
      <c r="F2" s="196"/>
      <c r="G2" s="197"/>
      <c r="H2" s="198"/>
      <c r="I2" s="198"/>
      <c r="J2" s="197"/>
      <c r="K2" s="199"/>
      <c r="L2" s="199"/>
      <c r="M2" s="199"/>
      <c r="N2" s="197"/>
      <c r="O2" s="198"/>
      <c r="P2" s="198"/>
      <c r="Q2" s="197"/>
      <c r="R2" s="199"/>
      <c r="S2" s="199"/>
      <c r="T2" s="199"/>
      <c r="U2" s="197"/>
      <c r="V2" s="199"/>
      <c r="W2" s="199"/>
      <c r="X2" s="197"/>
      <c r="Y2" s="199"/>
      <c r="Z2" s="199"/>
      <c r="AA2" s="199"/>
      <c r="AB2" s="200"/>
      <c r="AC2" s="201"/>
      <c r="AD2" s="4"/>
      <c r="AE2" s="15"/>
    </row>
    <row r="3" spans="2:32" customFormat="1" ht="17.25" x14ac:dyDescent="0.45">
      <c r="D3" s="52"/>
      <c r="E3" s="202"/>
      <c r="F3" s="203" t="s">
        <v>65</v>
      </c>
      <c r="G3" s="204"/>
      <c r="H3" s="205"/>
      <c r="I3" s="205"/>
      <c r="J3" s="204"/>
      <c r="K3" s="4"/>
      <c r="L3" s="4"/>
      <c r="M3" s="4"/>
      <c r="N3" s="204"/>
      <c r="O3" s="205"/>
      <c r="P3" s="205"/>
      <c r="Q3" s="204"/>
      <c r="R3" s="4"/>
      <c r="S3" s="4"/>
      <c r="T3" s="4"/>
      <c r="U3" s="204"/>
      <c r="V3" s="4"/>
      <c r="W3" s="4"/>
      <c r="X3" s="204"/>
      <c r="Y3" s="4"/>
      <c r="Z3" s="4"/>
      <c r="AA3" s="4"/>
      <c r="AB3" s="15"/>
      <c r="AC3" s="206"/>
      <c r="AD3" s="4"/>
      <c r="AE3" s="15"/>
    </row>
    <row r="4" spans="2:32" ht="10.7" customHeight="1" thickBot="1" x14ac:dyDescent="0.5">
      <c r="E4" s="207"/>
      <c r="AC4" s="208"/>
    </row>
    <row r="5" spans="2:32" s="46" customFormat="1" ht="19.899999999999999" thickTop="1" thickBot="1" x14ac:dyDescent="0.55000000000000004">
      <c r="E5" s="209"/>
      <c r="F5" s="47"/>
      <c r="G5" s="210" t="s">
        <v>66</v>
      </c>
      <c r="H5" s="211"/>
      <c r="I5" s="48"/>
      <c r="J5" s="210" t="s">
        <v>67</v>
      </c>
      <c r="K5" s="49"/>
      <c r="L5" s="49"/>
      <c r="M5" s="50"/>
      <c r="N5" s="210" t="s">
        <v>68</v>
      </c>
      <c r="O5" s="211"/>
      <c r="P5" s="315"/>
      <c r="Q5" s="210" t="s">
        <v>69</v>
      </c>
      <c r="R5" s="49"/>
      <c r="S5" s="49"/>
      <c r="T5" s="49"/>
      <c r="U5" s="212"/>
      <c r="V5" s="49"/>
      <c r="W5" s="49"/>
      <c r="X5" s="212"/>
      <c r="Y5" s="49"/>
      <c r="Z5" s="49"/>
      <c r="AA5" s="49"/>
      <c r="AB5" s="51"/>
      <c r="AC5" s="213"/>
      <c r="AD5" s="49"/>
      <c r="AE5" s="51"/>
    </row>
    <row r="6" spans="2:32" ht="13.7" customHeight="1" thickTop="1" x14ac:dyDescent="0.45">
      <c r="E6" s="207"/>
      <c r="AC6" s="208"/>
    </row>
    <row r="7" spans="2:32" s="55" customFormat="1" ht="18" x14ac:dyDescent="0.45">
      <c r="D7" s="53"/>
      <c r="E7" s="214"/>
      <c r="F7" s="215"/>
      <c r="G7" s="216" t="s">
        <v>70</v>
      </c>
      <c r="H7" s="216"/>
      <c r="I7" s="217"/>
      <c r="J7" s="216" t="s">
        <v>71</v>
      </c>
      <c r="K7" s="218"/>
      <c r="L7" s="218"/>
      <c r="M7" s="231"/>
      <c r="N7" s="216" t="s">
        <v>72</v>
      </c>
      <c r="P7" s="219"/>
      <c r="Q7" s="216" t="s">
        <v>73</v>
      </c>
      <c r="R7" s="216"/>
      <c r="S7" s="220"/>
      <c r="T7" s="216" t="s">
        <v>74</v>
      </c>
      <c r="U7" s="218"/>
      <c r="V7" s="218"/>
      <c r="W7" s="221"/>
      <c r="X7" s="216" t="s">
        <v>75</v>
      </c>
      <c r="Y7" s="218"/>
      <c r="AA7" s="222"/>
      <c r="AB7" s="216" t="s">
        <v>76</v>
      </c>
      <c r="AC7" s="223"/>
      <c r="AD7" s="54"/>
      <c r="AE7" s="54"/>
    </row>
    <row r="8" spans="2:32" ht="15" thickBot="1" x14ac:dyDescent="0.5">
      <c r="E8" s="224"/>
      <c r="F8" s="225"/>
      <c r="G8" s="226"/>
      <c r="H8" s="227"/>
      <c r="I8" s="227"/>
      <c r="J8" s="226"/>
      <c r="K8" s="228"/>
      <c r="L8" s="228"/>
      <c r="M8" s="228"/>
      <c r="N8" s="226"/>
      <c r="O8" s="227"/>
      <c r="P8" s="227"/>
      <c r="Q8" s="226"/>
      <c r="R8" s="228"/>
      <c r="S8" s="228"/>
      <c r="T8" s="228"/>
      <c r="U8" s="226"/>
      <c r="V8" s="228"/>
      <c r="W8" s="228"/>
      <c r="X8" s="226"/>
      <c r="Y8" s="228"/>
      <c r="Z8" s="228"/>
      <c r="AA8" s="228"/>
      <c r="AB8" s="229"/>
      <c r="AC8" s="230"/>
    </row>
    <row r="9" spans="2:32" ht="15" thickBot="1" x14ac:dyDescent="0.5"/>
    <row r="10" spans="2:32" s="45" customFormat="1" ht="52.7" customHeight="1" thickTop="1" thickBot="1" x14ac:dyDescent="0.45">
      <c r="E10" s="351" t="s">
        <v>77</v>
      </c>
      <c r="F10" s="351"/>
      <c r="G10" s="351"/>
      <c r="H10" s="351"/>
      <c r="I10" s="351"/>
      <c r="J10" s="351"/>
      <c r="K10" s="351"/>
      <c r="L10" s="351" t="s">
        <v>43</v>
      </c>
      <c r="M10" s="351"/>
      <c r="N10" s="351"/>
      <c r="O10" s="351"/>
      <c r="P10" s="351"/>
      <c r="Q10" s="351"/>
      <c r="R10" s="351"/>
      <c r="S10" s="351" t="s">
        <v>44</v>
      </c>
      <c r="T10" s="351"/>
      <c r="U10" s="351"/>
      <c r="V10" s="351"/>
      <c r="W10" s="351"/>
      <c r="X10" s="351"/>
      <c r="Y10" s="351"/>
      <c r="Z10" s="351" t="s">
        <v>78</v>
      </c>
      <c r="AA10" s="351"/>
      <c r="AB10" s="351"/>
      <c r="AC10" s="351"/>
      <c r="AD10" s="351"/>
      <c r="AE10" s="351"/>
      <c r="AF10" s="351"/>
    </row>
    <row r="11" spans="2:32" ht="15" thickTop="1" thickBot="1" x14ac:dyDescent="0.5">
      <c r="B11" s="352" t="s">
        <v>79</v>
      </c>
      <c r="D11" s="355" t="s">
        <v>80</v>
      </c>
      <c r="E11" s="86"/>
      <c r="F11" s="87"/>
      <c r="G11" s="88"/>
      <c r="H11" s="89"/>
      <c r="I11" s="89"/>
      <c r="J11" s="88"/>
      <c r="K11" s="90"/>
      <c r="L11" s="91"/>
      <c r="M11" s="87"/>
      <c r="N11" s="88"/>
      <c r="O11" s="89"/>
      <c r="P11" s="89"/>
      <c r="Q11" s="88"/>
      <c r="R11" s="90"/>
      <c r="S11" s="91"/>
      <c r="T11" s="87"/>
      <c r="U11" s="88"/>
      <c r="V11" s="87"/>
      <c r="W11" s="87"/>
      <c r="X11" s="88"/>
      <c r="Y11" s="90"/>
      <c r="Z11" s="91"/>
      <c r="AA11" s="87"/>
      <c r="AB11" s="92"/>
      <c r="AC11" s="87"/>
      <c r="AD11" s="87"/>
      <c r="AE11" s="92"/>
      <c r="AF11" s="35"/>
    </row>
    <row r="12" spans="2:32" ht="36.950000000000003" customHeight="1" thickTop="1" thickBot="1" x14ac:dyDescent="0.5">
      <c r="B12" s="353"/>
      <c r="D12" s="356"/>
      <c r="E12" s="93"/>
      <c r="F12" s="68"/>
      <c r="G12" s="66" t="s">
        <v>306</v>
      </c>
      <c r="H12" s="67"/>
      <c r="I12" s="68"/>
      <c r="J12" s="66" t="s">
        <v>1294</v>
      </c>
      <c r="K12" s="72"/>
      <c r="L12" s="73"/>
      <c r="M12" s="95"/>
      <c r="N12" s="69" t="s">
        <v>81</v>
      </c>
      <c r="O12" s="70"/>
      <c r="P12" s="71"/>
      <c r="Q12" s="69" t="s">
        <v>82</v>
      </c>
      <c r="R12" s="72"/>
      <c r="S12" s="73"/>
      <c r="T12" s="76"/>
      <c r="U12" s="232" t="s">
        <v>83</v>
      </c>
      <c r="V12" s="74"/>
      <c r="W12" s="76"/>
      <c r="X12" s="232" t="s">
        <v>84</v>
      </c>
      <c r="Y12" s="72"/>
      <c r="Z12" s="73"/>
      <c r="AA12" s="76"/>
      <c r="AB12" s="232" t="s">
        <v>591</v>
      </c>
      <c r="AC12" s="74"/>
      <c r="AD12" s="64"/>
      <c r="AE12" s="317" t="s">
        <v>85</v>
      </c>
      <c r="AF12" s="34"/>
    </row>
    <row r="13" spans="2:32" ht="15" thickTop="1" thickBot="1" x14ac:dyDescent="0.5">
      <c r="B13" s="353"/>
      <c r="D13" s="356"/>
      <c r="E13" s="93"/>
      <c r="F13" s="74"/>
      <c r="G13" s="67"/>
      <c r="H13" s="67"/>
      <c r="I13" s="67"/>
      <c r="J13" s="67"/>
      <c r="K13" s="72"/>
      <c r="L13" s="73"/>
      <c r="M13" s="74"/>
      <c r="N13" s="67"/>
      <c r="O13" s="70"/>
      <c r="P13" s="70"/>
      <c r="Q13" s="67"/>
      <c r="R13" s="72"/>
      <c r="S13" s="73"/>
      <c r="T13" s="74"/>
      <c r="U13" s="67"/>
      <c r="V13" s="74"/>
      <c r="W13" s="74"/>
      <c r="X13" s="67"/>
      <c r="Y13" s="72"/>
      <c r="Z13" s="73"/>
      <c r="AA13" s="74"/>
      <c r="AB13" s="67"/>
      <c r="AC13" s="74"/>
      <c r="AD13" s="70"/>
      <c r="AE13" s="67"/>
      <c r="AF13" s="34"/>
    </row>
    <row r="14" spans="2:32" ht="36.950000000000003" customHeight="1" thickTop="1" thickBot="1" x14ac:dyDescent="0.5">
      <c r="B14" s="353"/>
      <c r="D14" s="356"/>
      <c r="E14" s="93"/>
      <c r="F14" s="94"/>
      <c r="G14" s="66" t="s">
        <v>1293</v>
      </c>
      <c r="H14" s="67"/>
      <c r="I14" s="68"/>
      <c r="J14" s="66" t="s">
        <v>86</v>
      </c>
      <c r="K14" s="72"/>
      <c r="L14" s="73"/>
      <c r="M14" s="64"/>
      <c r="N14" s="328" t="s">
        <v>87</v>
      </c>
      <c r="O14" s="75"/>
      <c r="P14" s="64"/>
      <c r="Q14" s="328" t="s">
        <v>88</v>
      </c>
      <c r="R14" s="72"/>
      <c r="S14" s="73"/>
      <c r="T14" s="76"/>
      <c r="U14" s="232" t="s">
        <v>89</v>
      </c>
      <c r="V14" s="74"/>
      <c r="W14" s="76"/>
      <c r="X14" s="232" t="s">
        <v>90</v>
      </c>
      <c r="Y14" s="72"/>
      <c r="Z14" s="73"/>
      <c r="AA14" s="76"/>
      <c r="AB14" s="232" t="s">
        <v>91</v>
      </c>
      <c r="AC14" s="74"/>
      <c r="AD14" s="76"/>
      <c r="AE14" s="232" t="s">
        <v>92</v>
      </c>
      <c r="AF14" s="34"/>
    </row>
    <row r="15" spans="2:32" ht="15" thickTop="1" thickBot="1" x14ac:dyDescent="0.5">
      <c r="B15" s="353"/>
      <c r="D15" s="356"/>
      <c r="E15" s="93"/>
      <c r="F15" s="74"/>
      <c r="G15" s="67"/>
      <c r="H15" s="67"/>
      <c r="I15" s="67"/>
      <c r="J15" s="67"/>
      <c r="K15" s="72"/>
      <c r="L15" s="73"/>
      <c r="M15" s="74"/>
      <c r="N15" s="67"/>
      <c r="O15" s="70"/>
      <c r="P15" s="70"/>
      <c r="Q15" s="67"/>
      <c r="R15" s="72"/>
      <c r="S15" s="73"/>
      <c r="T15" s="74"/>
      <c r="U15" s="67"/>
      <c r="V15" s="74"/>
      <c r="W15" s="74"/>
      <c r="X15" s="67"/>
      <c r="Y15" s="72"/>
      <c r="Z15" s="73"/>
      <c r="AA15" s="74"/>
      <c r="AB15" s="67"/>
      <c r="AC15" s="74"/>
      <c r="AD15" s="74"/>
      <c r="AE15" s="67"/>
      <c r="AF15" s="34"/>
    </row>
    <row r="16" spans="2:32" ht="36.950000000000003" customHeight="1" thickTop="1" thickBot="1" x14ac:dyDescent="0.5">
      <c r="B16" s="353"/>
      <c r="D16" s="356"/>
      <c r="E16" s="93"/>
      <c r="F16" s="94"/>
      <c r="G16" s="66" t="s">
        <v>93</v>
      </c>
      <c r="H16" s="67"/>
      <c r="I16" s="68"/>
      <c r="J16" s="66" t="s">
        <v>94</v>
      </c>
      <c r="K16" s="72"/>
      <c r="L16" s="73"/>
      <c r="M16" s="64"/>
      <c r="N16" s="328" t="s">
        <v>95</v>
      </c>
      <c r="O16" s="70"/>
      <c r="P16" s="64"/>
      <c r="Q16" s="328" t="s">
        <v>96</v>
      </c>
      <c r="R16" s="72"/>
      <c r="S16" s="73"/>
      <c r="T16" s="76"/>
      <c r="U16" s="232" t="s">
        <v>97</v>
      </c>
      <c r="V16" s="74"/>
      <c r="W16" s="76"/>
      <c r="X16" s="232" t="s">
        <v>1422</v>
      </c>
      <c r="Y16" s="72"/>
      <c r="Z16" s="73"/>
      <c r="AA16" s="68"/>
      <c r="AB16" s="314" t="s">
        <v>98</v>
      </c>
      <c r="AC16" s="70"/>
      <c r="AD16" s="68"/>
      <c r="AE16" s="314" t="s">
        <v>606</v>
      </c>
      <c r="AF16" s="34"/>
    </row>
    <row r="17" spans="2:32" ht="15" thickTop="1" thickBot="1" x14ac:dyDescent="0.5">
      <c r="B17" s="353"/>
      <c r="D17" s="356"/>
      <c r="E17" s="93"/>
      <c r="F17" s="74"/>
      <c r="G17" s="67"/>
      <c r="H17" s="67"/>
      <c r="I17" s="67"/>
      <c r="J17" s="67"/>
      <c r="K17" s="72"/>
      <c r="L17" s="73"/>
      <c r="M17" s="74"/>
      <c r="N17" s="67"/>
      <c r="O17" s="70"/>
      <c r="P17" s="70"/>
      <c r="Q17" s="67"/>
      <c r="R17" s="72"/>
      <c r="S17" s="73"/>
      <c r="T17" s="77"/>
      <c r="U17" s="67"/>
      <c r="V17" s="74"/>
      <c r="W17" s="77"/>
      <c r="X17" s="67"/>
      <c r="Y17" s="72"/>
      <c r="Z17" s="73"/>
      <c r="AA17" s="74"/>
      <c r="AB17" s="67"/>
      <c r="AC17" s="70"/>
      <c r="AD17" s="70"/>
      <c r="AE17" s="67"/>
      <c r="AF17" s="34"/>
    </row>
    <row r="18" spans="2:32" ht="36.950000000000003" customHeight="1" thickTop="1" thickBot="1" x14ac:dyDescent="0.5">
      <c r="B18" s="353"/>
      <c r="D18" s="356"/>
      <c r="E18" s="93"/>
      <c r="F18" s="71"/>
      <c r="G18" s="84" t="s">
        <v>1292</v>
      </c>
      <c r="H18" s="67"/>
      <c r="I18" s="76"/>
      <c r="J18" s="232" t="s">
        <v>339</v>
      </c>
      <c r="K18" s="72"/>
      <c r="L18" s="73"/>
      <c r="M18" s="74"/>
      <c r="N18" s="67"/>
      <c r="O18" s="70"/>
      <c r="P18" s="70"/>
      <c r="Q18" s="67"/>
      <c r="R18" s="72"/>
      <c r="S18" s="73"/>
      <c r="T18" s="76"/>
      <c r="U18" s="232" t="s">
        <v>99</v>
      </c>
      <c r="V18" s="74"/>
      <c r="W18" s="76"/>
      <c r="X18" s="232" t="s">
        <v>100</v>
      </c>
      <c r="Y18" s="72"/>
      <c r="Z18" s="73"/>
      <c r="AA18" s="68"/>
      <c r="AB18" s="314" t="s">
        <v>101</v>
      </c>
      <c r="AC18" s="70"/>
      <c r="AD18" s="68"/>
      <c r="AE18" s="314" t="s">
        <v>102</v>
      </c>
      <c r="AF18" s="34"/>
    </row>
    <row r="19" spans="2:32" ht="15" thickTop="1" thickBot="1" x14ac:dyDescent="0.5">
      <c r="B19" s="353"/>
      <c r="D19" s="356"/>
      <c r="E19" s="93"/>
      <c r="F19" s="74"/>
      <c r="G19" s="67"/>
      <c r="H19" s="67"/>
      <c r="I19" s="67"/>
      <c r="J19" s="67"/>
      <c r="K19" s="72"/>
      <c r="L19" s="73"/>
      <c r="M19" s="74"/>
      <c r="N19" s="67"/>
      <c r="O19" s="70"/>
      <c r="P19" s="70"/>
      <c r="Q19" s="67"/>
      <c r="R19" s="72"/>
      <c r="S19" s="73"/>
      <c r="T19" s="74"/>
      <c r="U19" s="67"/>
      <c r="V19" s="74"/>
      <c r="W19" s="74"/>
      <c r="X19" s="67"/>
      <c r="Y19" s="72"/>
      <c r="Z19" s="73"/>
      <c r="AA19" s="77"/>
      <c r="AB19" s="67"/>
      <c r="AC19" s="70"/>
      <c r="AD19" s="79"/>
      <c r="AE19" s="67"/>
      <c r="AF19" s="34"/>
    </row>
    <row r="20" spans="2:32" ht="36.950000000000003" customHeight="1" thickTop="1" thickBot="1" x14ac:dyDescent="0.5">
      <c r="B20" s="353"/>
      <c r="D20" s="356"/>
      <c r="E20" s="93"/>
      <c r="F20" s="74"/>
      <c r="G20" s="67"/>
      <c r="H20" s="67"/>
      <c r="I20" s="67"/>
      <c r="J20" s="67"/>
      <c r="K20" s="72"/>
      <c r="L20" s="73"/>
      <c r="M20" s="74"/>
      <c r="N20" s="67"/>
      <c r="O20" s="70"/>
      <c r="P20" s="70"/>
      <c r="Q20" s="67"/>
      <c r="R20" s="72"/>
      <c r="S20" s="73"/>
      <c r="T20" s="76"/>
      <c r="U20" s="232" t="s">
        <v>103</v>
      </c>
      <c r="V20" s="74"/>
      <c r="W20" s="76"/>
      <c r="X20" s="232" t="s">
        <v>104</v>
      </c>
      <c r="Y20" s="72"/>
      <c r="Z20" s="73"/>
      <c r="AA20" s="68"/>
      <c r="AB20" s="314" t="s">
        <v>105</v>
      </c>
      <c r="AC20" s="70"/>
      <c r="AD20" s="68"/>
      <c r="AE20" s="314" t="s">
        <v>106</v>
      </c>
      <c r="AF20" s="34"/>
    </row>
    <row r="21" spans="2:32" ht="18" customHeight="1" thickTop="1" thickBot="1" x14ac:dyDescent="0.5">
      <c r="B21" s="353"/>
      <c r="D21" s="356"/>
      <c r="E21" s="93"/>
      <c r="F21" s="74"/>
      <c r="G21" s="67"/>
      <c r="H21" s="67"/>
      <c r="I21" s="67"/>
      <c r="J21" s="67"/>
      <c r="K21" s="72"/>
      <c r="L21" s="73"/>
      <c r="M21" s="74"/>
      <c r="N21" s="67"/>
      <c r="O21" s="70"/>
      <c r="P21" s="70"/>
      <c r="Q21" s="67"/>
      <c r="R21" s="72"/>
      <c r="S21" s="73"/>
      <c r="T21" s="67"/>
      <c r="U21" s="78"/>
      <c r="V21" s="74"/>
      <c r="W21" s="67"/>
      <c r="X21" s="78"/>
      <c r="Y21" s="72"/>
      <c r="Z21" s="73"/>
      <c r="AA21" s="67"/>
      <c r="AB21" s="80"/>
      <c r="AC21" s="70"/>
      <c r="AD21" s="67"/>
      <c r="AE21" s="80"/>
      <c r="AF21" s="34"/>
    </row>
    <row r="22" spans="2:32" ht="36.950000000000003" customHeight="1" thickTop="1" thickBot="1" x14ac:dyDescent="0.5">
      <c r="B22" s="353"/>
      <c r="D22" s="356"/>
      <c r="E22" s="93"/>
      <c r="F22" s="74"/>
      <c r="G22" s="67"/>
      <c r="H22" s="67"/>
      <c r="I22" s="67"/>
      <c r="J22" s="67"/>
      <c r="K22" s="72"/>
      <c r="L22" s="73"/>
      <c r="M22" s="74"/>
      <c r="N22" s="67"/>
      <c r="O22" s="70"/>
      <c r="P22" s="70"/>
      <c r="Q22" s="67"/>
      <c r="R22" s="72"/>
      <c r="S22" s="73"/>
      <c r="T22" s="76"/>
      <c r="U22" s="232" t="s">
        <v>107</v>
      </c>
      <c r="V22" s="74"/>
      <c r="W22" s="76"/>
      <c r="X22" s="232" t="s">
        <v>108</v>
      </c>
      <c r="Y22" s="72"/>
      <c r="Z22" s="73"/>
      <c r="AA22" s="68" t="s">
        <v>109</v>
      </c>
      <c r="AB22" s="314" t="s">
        <v>110</v>
      </c>
      <c r="AC22" s="70"/>
      <c r="AD22" s="68"/>
      <c r="AE22" s="314" t="s">
        <v>111</v>
      </c>
      <c r="AF22" s="34"/>
    </row>
    <row r="23" spans="2:32" ht="18" customHeight="1" thickTop="1" thickBot="1" x14ac:dyDescent="0.5">
      <c r="B23" s="353"/>
      <c r="D23" s="356"/>
      <c r="E23" s="93"/>
      <c r="F23" s="74"/>
      <c r="G23" s="67"/>
      <c r="H23" s="67"/>
      <c r="I23" s="67"/>
      <c r="J23" s="67"/>
      <c r="K23" s="72"/>
      <c r="L23" s="73"/>
      <c r="M23" s="74"/>
      <c r="N23" s="67"/>
      <c r="O23" s="70"/>
      <c r="P23" s="70"/>
      <c r="Q23" s="67"/>
      <c r="R23" s="72"/>
      <c r="S23" s="73"/>
      <c r="T23" s="67"/>
      <c r="U23" s="78"/>
      <c r="V23" s="74"/>
      <c r="W23" s="67"/>
      <c r="X23" s="78"/>
      <c r="Y23" s="72"/>
      <c r="Z23" s="73"/>
      <c r="AA23" s="67"/>
      <c r="AB23" s="80"/>
      <c r="AC23" s="70"/>
      <c r="AD23" s="67"/>
      <c r="AE23" s="80"/>
      <c r="AF23" s="34"/>
    </row>
    <row r="24" spans="2:32" ht="36.950000000000003" customHeight="1" thickTop="1" thickBot="1" x14ac:dyDescent="0.5">
      <c r="B24" s="353"/>
      <c r="D24" s="356"/>
      <c r="E24" s="93"/>
      <c r="F24" s="74"/>
      <c r="G24" s="67"/>
      <c r="H24" s="67"/>
      <c r="I24" s="67"/>
      <c r="J24" s="67"/>
      <c r="K24" s="72"/>
      <c r="L24" s="73"/>
      <c r="M24" s="74"/>
      <c r="N24" s="67"/>
      <c r="O24" s="70"/>
      <c r="P24" s="70"/>
      <c r="Q24" s="67"/>
      <c r="R24" s="72"/>
      <c r="S24" s="73"/>
      <c r="T24" s="76"/>
      <c r="U24" s="232" t="s">
        <v>112</v>
      </c>
      <c r="V24" s="74"/>
      <c r="W24" s="76"/>
      <c r="X24" s="232" t="s">
        <v>113</v>
      </c>
      <c r="Y24" s="72"/>
      <c r="Z24" s="73"/>
      <c r="AA24" s="80"/>
      <c r="AB24" s="80"/>
      <c r="AC24" s="80"/>
      <c r="AD24" s="80"/>
      <c r="AE24" s="80"/>
      <c r="AF24" s="34"/>
    </row>
    <row r="25" spans="2:32" ht="18" customHeight="1" thickTop="1" thickBot="1" x14ac:dyDescent="0.5">
      <c r="B25" s="353"/>
      <c r="D25" s="356"/>
      <c r="E25" s="93"/>
      <c r="F25" s="74"/>
      <c r="G25" s="67"/>
      <c r="H25" s="67"/>
      <c r="I25" s="67"/>
      <c r="J25" s="67"/>
      <c r="K25" s="72"/>
      <c r="L25" s="73"/>
      <c r="M25" s="74"/>
      <c r="N25" s="67"/>
      <c r="O25" s="70"/>
      <c r="P25" s="70"/>
      <c r="Q25" s="67"/>
      <c r="R25" s="72"/>
      <c r="S25" s="73"/>
      <c r="T25" s="74"/>
      <c r="U25" s="67"/>
      <c r="V25" s="74"/>
      <c r="W25" s="67"/>
      <c r="X25" s="78"/>
      <c r="Y25" s="72"/>
      <c r="Z25" s="73"/>
      <c r="AA25" s="80"/>
      <c r="AB25" s="80"/>
      <c r="AC25" s="80"/>
      <c r="AD25" s="80"/>
      <c r="AE25" s="80"/>
      <c r="AF25" s="34"/>
    </row>
    <row r="26" spans="2:32" ht="36.950000000000003" customHeight="1" thickTop="1" thickBot="1" x14ac:dyDescent="0.5">
      <c r="B26" s="353"/>
      <c r="D26" s="356"/>
      <c r="E26" s="93"/>
      <c r="F26" s="74"/>
      <c r="G26" s="67"/>
      <c r="H26" s="67"/>
      <c r="I26" s="67"/>
      <c r="J26" s="67"/>
      <c r="K26" s="72"/>
      <c r="L26" s="73"/>
      <c r="M26" s="74"/>
      <c r="N26" s="67"/>
      <c r="O26" s="70"/>
      <c r="P26" s="70"/>
      <c r="Q26" s="67"/>
      <c r="R26" s="72"/>
      <c r="S26" s="73"/>
      <c r="T26" s="76"/>
      <c r="U26" s="232" t="s">
        <v>114</v>
      </c>
      <c r="V26" s="74"/>
      <c r="W26" s="76"/>
      <c r="X26" s="232" t="s">
        <v>115</v>
      </c>
      <c r="Y26" s="72"/>
      <c r="Z26" s="73"/>
      <c r="AA26" s="80"/>
      <c r="AB26" s="80"/>
      <c r="AC26" s="80"/>
      <c r="AD26" s="80"/>
      <c r="AE26" s="80"/>
      <c r="AF26" s="34"/>
    </row>
    <row r="27" spans="2:32" ht="18" customHeight="1" thickTop="1" thickBot="1" x14ac:dyDescent="0.5">
      <c r="B27" s="353"/>
      <c r="D27" s="356"/>
      <c r="E27" s="93"/>
      <c r="F27" s="74"/>
      <c r="G27" s="67"/>
      <c r="H27" s="67"/>
      <c r="I27" s="67"/>
      <c r="J27" s="67"/>
      <c r="K27" s="72"/>
      <c r="L27" s="73"/>
      <c r="M27" s="74"/>
      <c r="N27" s="67"/>
      <c r="O27" s="70"/>
      <c r="P27" s="70"/>
      <c r="Q27" s="67"/>
      <c r="R27" s="72"/>
      <c r="S27" s="73"/>
      <c r="T27" s="74"/>
      <c r="U27" s="67"/>
      <c r="V27" s="74"/>
      <c r="W27" s="74"/>
      <c r="X27" s="67"/>
      <c r="Y27" s="72"/>
      <c r="Z27" s="73"/>
      <c r="AA27" s="80"/>
      <c r="AB27" s="80"/>
      <c r="AC27" s="80"/>
      <c r="AD27" s="80"/>
      <c r="AE27" s="80"/>
      <c r="AF27" s="34"/>
    </row>
    <row r="28" spans="2:32" ht="36.950000000000003" customHeight="1" thickTop="1" thickBot="1" x14ac:dyDescent="0.5">
      <c r="B28" s="353"/>
      <c r="D28" s="356"/>
      <c r="E28" s="93"/>
      <c r="F28" s="74"/>
      <c r="G28" s="67"/>
      <c r="H28" s="67"/>
      <c r="I28" s="67"/>
      <c r="J28" s="67"/>
      <c r="K28" s="72"/>
      <c r="L28" s="73"/>
      <c r="M28" s="74"/>
      <c r="N28" s="67"/>
      <c r="O28" s="70"/>
      <c r="P28" s="70"/>
      <c r="Q28" s="67"/>
      <c r="R28" s="72"/>
      <c r="S28" s="73"/>
      <c r="T28" s="68"/>
      <c r="U28" s="314" t="s">
        <v>116</v>
      </c>
      <c r="V28" s="74"/>
      <c r="W28" s="76"/>
      <c r="X28" s="232" t="s">
        <v>117</v>
      </c>
      <c r="Y28" s="72"/>
      <c r="Z28" s="73"/>
      <c r="AA28" s="80"/>
      <c r="AB28" s="80"/>
      <c r="AC28" s="80"/>
      <c r="AD28" s="80"/>
      <c r="AE28" s="80"/>
      <c r="AF28" s="34"/>
    </row>
    <row r="29" spans="2:32" ht="15" thickTop="1" thickBot="1" x14ac:dyDescent="0.5">
      <c r="B29" s="353"/>
      <c r="D29" s="357"/>
      <c r="E29" s="96"/>
      <c r="F29" s="97"/>
      <c r="G29" s="98"/>
      <c r="H29" s="98"/>
      <c r="I29" s="98"/>
      <c r="J29" s="98"/>
      <c r="K29" s="99"/>
      <c r="L29" s="100"/>
      <c r="M29" s="97"/>
      <c r="N29" s="98"/>
      <c r="O29" s="101"/>
      <c r="P29" s="101"/>
      <c r="Q29" s="98"/>
      <c r="R29" s="99"/>
      <c r="S29" s="100"/>
      <c r="T29" s="97"/>
      <c r="U29" s="98"/>
      <c r="V29" s="97"/>
      <c r="W29" s="97"/>
      <c r="X29" s="98"/>
      <c r="Y29" s="99"/>
      <c r="Z29" s="100"/>
      <c r="AA29" s="97"/>
      <c r="AB29" s="102"/>
      <c r="AC29" s="97"/>
      <c r="AD29" s="97"/>
      <c r="AE29" s="102"/>
      <c r="AF29" s="33"/>
    </row>
    <row r="30" spans="2:32" ht="15" thickTop="1" thickBot="1" x14ac:dyDescent="0.5">
      <c r="B30" s="353"/>
      <c r="D30" s="358" t="s">
        <v>118</v>
      </c>
      <c r="E30" s="103"/>
      <c r="F30" s="104"/>
      <c r="G30" s="105"/>
      <c r="H30" s="105"/>
      <c r="I30" s="105"/>
      <c r="J30" s="105"/>
      <c r="K30" s="106"/>
      <c r="L30" s="107"/>
      <c r="M30" s="104"/>
      <c r="N30" s="105"/>
      <c r="O30" s="108"/>
      <c r="P30" s="108"/>
      <c r="Q30" s="105"/>
      <c r="R30" s="106"/>
      <c r="S30" s="107"/>
      <c r="T30" s="104"/>
      <c r="U30" s="105"/>
      <c r="V30" s="104"/>
      <c r="W30" s="104"/>
      <c r="X30" s="105"/>
      <c r="Y30" s="104"/>
      <c r="Z30" s="107"/>
      <c r="AA30" s="104"/>
      <c r="AB30" s="109"/>
      <c r="AC30" s="104"/>
      <c r="AD30" s="104"/>
      <c r="AE30" s="109"/>
      <c r="AF30" s="31"/>
    </row>
    <row r="31" spans="2:32" ht="36.950000000000003" customHeight="1" thickTop="1" thickBot="1" x14ac:dyDescent="0.5">
      <c r="B31" s="353"/>
      <c r="D31" s="359"/>
      <c r="E31" s="110"/>
      <c r="F31" s="68"/>
      <c r="G31" s="314" t="s">
        <v>119</v>
      </c>
      <c r="H31" s="81"/>
      <c r="I31" s="71"/>
      <c r="J31" s="84" t="s">
        <v>1291</v>
      </c>
      <c r="K31" s="111"/>
      <c r="L31" s="112"/>
      <c r="M31" s="316"/>
      <c r="N31" s="327" t="s">
        <v>120</v>
      </c>
      <c r="O31" s="75"/>
      <c r="P31" s="64"/>
      <c r="Q31" s="317" t="s">
        <v>121</v>
      </c>
      <c r="R31" s="111"/>
      <c r="S31" s="112"/>
      <c r="T31" s="68"/>
      <c r="U31" s="314" t="s">
        <v>1421</v>
      </c>
      <c r="V31" s="65"/>
      <c r="W31" s="68"/>
      <c r="X31" s="314" t="s">
        <v>122</v>
      </c>
      <c r="Y31" s="65"/>
      <c r="Z31" s="112"/>
      <c r="AA31" s="68"/>
      <c r="AB31" s="314" t="s">
        <v>123</v>
      </c>
      <c r="AC31" s="75"/>
      <c r="AD31" s="68"/>
      <c r="AE31" s="314" t="s">
        <v>124</v>
      </c>
      <c r="AF31" s="32"/>
    </row>
    <row r="32" spans="2:32" ht="15" thickTop="1" thickBot="1" x14ac:dyDescent="0.5">
      <c r="B32" s="353"/>
      <c r="D32" s="359"/>
      <c r="E32" s="110"/>
      <c r="F32" s="65"/>
      <c r="G32" s="81"/>
      <c r="H32" s="81"/>
      <c r="I32" s="81"/>
      <c r="J32" s="81"/>
      <c r="K32" s="111"/>
      <c r="L32" s="112"/>
      <c r="M32" s="65"/>
      <c r="N32" s="81"/>
      <c r="O32" s="75"/>
      <c r="R32" s="111"/>
      <c r="S32" s="112"/>
      <c r="T32" s="113"/>
      <c r="U32" s="81"/>
      <c r="V32" s="65"/>
      <c r="W32" s="113"/>
      <c r="X32" s="81"/>
      <c r="Y32" s="65"/>
      <c r="Z32" s="112"/>
      <c r="AA32" s="113"/>
      <c r="AB32" s="81"/>
      <c r="AC32" s="75"/>
      <c r="AD32" s="82"/>
      <c r="AE32" s="81"/>
      <c r="AF32" s="32"/>
    </row>
    <row r="33" spans="2:32" ht="36.950000000000003" customHeight="1" thickTop="1" thickBot="1" x14ac:dyDescent="0.5">
      <c r="B33" s="353"/>
      <c r="D33" s="359"/>
      <c r="E33" s="110"/>
      <c r="F33" s="114"/>
      <c r="G33" s="84" t="s">
        <v>1289</v>
      </c>
      <c r="H33" s="81"/>
      <c r="I33" s="71"/>
      <c r="J33" s="84" t="s">
        <v>1290</v>
      </c>
      <c r="K33" s="111"/>
      <c r="L33" s="112"/>
      <c r="M33" s="95"/>
      <c r="N33" s="84" t="s">
        <v>125</v>
      </c>
      <c r="O33" s="75"/>
      <c r="P33" s="64"/>
      <c r="Q33" s="84" t="s">
        <v>126</v>
      </c>
      <c r="R33" s="111"/>
      <c r="S33" s="112"/>
      <c r="T33" s="68"/>
      <c r="U33" s="314" t="s">
        <v>127</v>
      </c>
      <c r="V33" s="65"/>
      <c r="W33" s="68"/>
      <c r="X33" s="314" t="s">
        <v>128</v>
      </c>
      <c r="Y33" s="65"/>
      <c r="Z33" s="112"/>
      <c r="AA33" s="68"/>
      <c r="AB33" s="314" t="s">
        <v>129</v>
      </c>
      <c r="AC33" s="75"/>
      <c r="AD33" s="68"/>
      <c r="AE33" s="314" t="s">
        <v>558</v>
      </c>
      <c r="AF33" s="32"/>
    </row>
    <row r="34" spans="2:32" ht="15" thickTop="1" thickBot="1" x14ac:dyDescent="0.5">
      <c r="B34" s="353"/>
      <c r="D34" s="359"/>
      <c r="E34" s="110"/>
      <c r="F34" s="65"/>
      <c r="G34" s="81"/>
      <c r="H34" s="81"/>
      <c r="I34" s="81"/>
      <c r="J34" s="81"/>
      <c r="K34" s="111"/>
      <c r="L34" s="112"/>
      <c r="M34" s="113"/>
      <c r="N34" s="81"/>
      <c r="O34" s="75"/>
      <c r="R34" s="111"/>
      <c r="S34" s="112"/>
      <c r="T34" s="65"/>
      <c r="U34" s="81"/>
      <c r="V34" s="65"/>
      <c r="W34" s="65"/>
      <c r="X34" s="81"/>
      <c r="Y34" s="65"/>
      <c r="Z34" s="112"/>
      <c r="AA34" s="65"/>
      <c r="AB34" s="81"/>
      <c r="AC34" s="75"/>
      <c r="AD34" s="75"/>
      <c r="AE34" s="81"/>
      <c r="AF34" s="32"/>
    </row>
    <row r="35" spans="2:32" ht="36.950000000000003" customHeight="1" thickTop="1" thickBot="1" x14ac:dyDescent="0.5">
      <c r="B35" s="353"/>
      <c r="D35" s="359"/>
      <c r="E35" s="110"/>
      <c r="F35" s="114"/>
      <c r="G35" s="84" t="s">
        <v>1288</v>
      </c>
      <c r="H35" s="81"/>
      <c r="I35" s="71"/>
      <c r="J35" s="84" t="s">
        <v>130</v>
      </c>
      <c r="K35" s="111"/>
      <c r="L35" s="112"/>
      <c r="M35" s="95"/>
      <c r="N35" s="84" t="s">
        <v>131</v>
      </c>
      <c r="O35" s="75"/>
      <c r="P35" s="71"/>
      <c r="Q35" s="84" t="s">
        <v>132</v>
      </c>
      <c r="R35" s="111"/>
      <c r="S35" s="112"/>
      <c r="T35" s="68"/>
      <c r="U35" s="314" t="s">
        <v>133</v>
      </c>
      <c r="V35" s="65"/>
      <c r="W35" s="76"/>
      <c r="X35" s="232" t="s">
        <v>1423</v>
      </c>
      <c r="Y35" s="65"/>
      <c r="Z35" s="112"/>
      <c r="AA35" s="68"/>
      <c r="AB35" s="314" t="s">
        <v>134</v>
      </c>
      <c r="AC35" s="75"/>
      <c r="AD35" s="68"/>
      <c r="AE35" s="314" t="s">
        <v>135</v>
      </c>
      <c r="AF35" s="32"/>
    </row>
    <row r="36" spans="2:32" ht="15" thickTop="1" thickBot="1" x14ac:dyDescent="0.5">
      <c r="B36" s="353"/>
      <c r="D36" s="359"/>
      <c r="E36" s="110"/>
      <c r="F36" s="65"/>
      <c r="G36" s="81"/>
      <c r="H36" s="81"/>
      <c r="I36" s="81"/>
      <c r="J36" s="81"/>
      <c r="K36" s="111"/>
      <c r="L36" s="112"/>
      <c r="M36" s="65"/>
      <c r="N36" s="81"/>
      <c r="O36" s="75"/>
      <c r="P36" s="75"/>
      <c r="Q36" s="81"/>
      <c r="R36" s="111"/>
      <c r="S36" s="112"/>
      <c r="T36" s="115"/>
      <c r="U36" s="81"/>
      <c r="V36" s="65"/>
      <c r="W36" s="65"/>
      <c r="X36" s="81"/>
      <c r="Y36" s="65"/>
      <c r="Z36" s="112"/>
      <c r="AA36" s="65"/>
      <c r="AB36" s="81"/>
      <c r="AC36" s="75"/>
      <c r="AD36" s="75"/>
      <c r="AE36" s="81"/>
      <c r="AF36" s="32"/>
    </row>
    <row r="37" spans="2:32" ht="36.950000000000003" customHeight="1" thickTop="1" thickBot="1" x14ac:dyDescent="0.5">
      <c r="B37" s="353"/>
      <c r="D37" s="359"/>
      <c r="E37" s="110"/>
      <c r="F37" s="114"/>
      <c r="G37" s="84" t="s">
        <v>136</v>
      </c>
      <c r="H37" s="81"/>
      <c r="I37" s="83"/>
      <c r="J37" s="84" t="s">
        <v>137</v>
      </c>
      <c r="K37" s="111"/>
      <c r="L37" s="112"/>
      <c r="M37" s="95"/>
      <c r="N37" s="84" t="s">
        <v>138</v>
      </c>
      <c r="O37" s="75"/>
      <c r="P37" s="71"/>
      <c r="Q37" s="84" t="s">
        <v>139</v>
      </c>
      <c r="R37" s="111"/>
      <c r="S37" s="112"/>
      <c r="T37" s="68"/>
      <c r="U37" s="314" t="s">
        <v>140</v>
      </c>
      <c r="V37" s="65"/>
      <c r="W37" s="68"/>
      <c r="X37" s="314" t="s">
        <v>141</v>
      </c>
      <c r="Y37" s="65"/>
      <c r="Z37" s="112"/>
      <c r="AA37" s="68"/>
      <c r="AB37" s="314" t="s">
        <v>1427</v>
      </c>
      <c r="AC37" s="75"/>
      <c r="AD37" s="68"/>
      <c r="AE37" s="314" t="s">
        <v>142</v>
      </c>
      <c r="AF37" s="32"/>
    </row>
    <row r="38" spans="2:32" ht="15" thickTop="1" thickBot="1" x14ac:dyDescent="0.5">
      <c r="B38" s="353"/>
      <c r="D38" s="359"/>
      <c r="E38" s="110"/>
      <c r="F38" s="65"/>
      <c r="G38" s="81"/>
      <c r="H38" s="81"/>
      <c r="I38" s="81"/>
      <c r="J38" s="81"/>
      <c r="K38" s="111"/>
      <c r="L38" s="112"/>
      <c r="M38" s="65"/>
      <c r="N38" s="81"/>
      <c r="O38" s="75"/>
      <c r="P38" s="75"/>
      <c r="Q38" s="81"/>
      <c r="R38" s="111"/>
      <c r="S38" s="112"/>
      <c r="T38" s="65"/>
      <c r="U38" s="81"/>
      <c r="V38" s="65"/>
      <c r="W38" s="65"/>
      <c r="X38" s="81"/>
      <c r="Y38" s="65"/>
      <c r="Z38" s="112"/>
      <c r="AA38" s="65"/>
      <c r="AB38" s="81"/>
      <c r="AC38" s="75"/>
      <c r="AD38" s="75"/>
      <c r="AE38" s="81"/>
      <c r="AF38" s="32"/>
    </row>
    <row r="39" spans="2:32" ht="36.950000000000003" customHeight="1" thickTop="1" thickBot="1" x14ac:dyDescent="0.5">
      <c r="B39" s="353"/>
      <c r="D39" s="359"/>
      <c r="E39" s="110"/>
      <c r="F39" s="114"/>
      <c r="G39" s="84" t="s">
        <v>143</v>
      </c>
      <c r="H39" s="81"/>
      <c r="I39" s="71"/>
      <c r="J39" s="84" t="s">
        <v>144</v>
      </c>
      <c r="K39" s="111"/>
      <c r="L39" s="112"/>
      <c r="M39" s="95"/>
      <c r="N39" s="84" t="s">
        <v>145</v>
      </c>
      <c r="O39" s="75"/>
      <c r="P39" s="71"/>
      <c r="Q39" s="84" t="s">
        <v>146</v>
      </c>
      <c r="R39" s="111"/>
      <c r="S39" s="112"/>
      <c r="T39" s="68"/>
      <c r="U39" s="314" t="s">
        <v>147</v>
      </c>
      <c r="V39" s="65"/>
      <c r="W39" s="68"/>
      <c r="X39" s="314" t="s">
        <v>148</v>
      </c>
      <c r="Y39" s="65"/>
      <c r="Z39" s="112"/>
      <c r="AA39" s="68"/>
      <c r="AB39" s="314" t="s">
        <v>1428</v>
      </c>
      <c r="AC39" s="75"/>
      <c r="AD39" s="68"/>
      <c r="AE39" s="314" t="s">
        <v>149</v>
      </c>
      <c r="AF39" s="32"/>
    </row>
    <row r="40" spans="2:32" ht="15" thickTop="1" thickBot="1" x14ac:dyDescent="0.5">
      <c r="B40" s="353"/>
      <c r="D40" s="359"/>
      <c r="E40" s="110"/>
      <c r="H40" s="81"/>
      <c r="I40" s="81"/>
      <c r="J40" s="81"/>
      <c r="K40" s="111"/>
      <c r="L40" s="112"/>
      <c r="M40" s="65"/>
      <c r="N40" s="81"/>
      <c r="O40" s="75"/>
      <c r="P40" s="75"/>
      <c r="Q40" s="81"/>
      <c r="R40" s="111"/>
      <c r="S40" s="112"/>
      <c r="T40" s="65"/>
      <c r="U40" s="81"/>
      <c r="V40" s="65"/>
      <c r="W40" s="65"/>
      <c r="X40" s="81"/>
      <c r="Y40" s="65"/>
      <c r="Z40" s="112"/>
      <c r="AA40" s="65"/>
      <c r="AB40" s="81"/>
      <c r="AC40" s="75"/>
      <c r="AD40" s="75"/>
      <c r="AE40" s="81"/>
      <c r="AF40" s="32"/>
    </row>
    <row r="41" spans="2:32" ht="36.950000000000003" customHeight="1" thickTop="1" thickBot="1" x14ac:dyDescent="0.5">
      <c r="B41" s="353"/>
      <c r="D41" s="359"/>
      <c r="E41" s="110"/>
      <c r="F41" s="71"/>
      <c r="G41" s="84" t="s">
        <v>150</v>
      </c>
      <c r="H41" s="81"/>
      <c r="I41" s="71"/>
      <c r="J41" s="84" t="s">
        <v>151</v>
      </c>
      <c r="K41" s="111"/>
      <c r="L41" s="112"/>
      <c r="M41" s="95"/>
      <c r="N41" s="84" t="s">
        <v>152</v>
      </c>
      <c r="O41" s="75"/>
      <c r="P41" s="71"/>
      <c r="Q41" s="84" t="s">
        <v>153</v>
      </c>
      <c r="R41" s="111"/>
      <c r="S41" s="112"/>
      <c r="T41" s="68"/>
      <c r="U41" s="314" t="s">
        <v>154</v>
      </c>
      <c r="V41" s="65"/>
      <c r="W41" s="68"/>
      <c r="X41" s="314" t="s">
        <v>155</v>
      </c>
      <c r="Y41" s="65"/>
      <c r="Z41" s="112"/>
      <c r="AA41" s="76"/>
      <c r="AB41" s="232" t="s">
        <v>156</v>
      </c>
      <c r="AC41" s="75"/>
      <c r="AD41" s="83"/>
      <c r="AE41" s="84" t="s">
        <v>157</v>
      </c>
      <c r="AF41" s="32"/>
    </row>
    <row r="42" spans="2:32" ht="15" thickTop="1" thickBot="1" x14ac:dyDescent="0.5">
      <c r="B42" s="353"/>
      <c r="D42" s="359"/>
      <c r="E42" s="110"/>
      <c r="F42" s="65"/>
      <c r="G42" s="81"/>
      <c r="H42" s="81"/>
      <c r="I42" s="81"/>
      <c r="J42" s="81"/>
      <c r="K42" s="111"/>
      <c r="L42" s="112"/>
      <c r="M42" s="65"/>
      <c r="N42" s="81"/>
      <c r="O42" s="75"/>
      <c r="P42" s="75"/>
      <c r="Q42" s="81"/>
      <c r="R42" s="111"/>
      <c r="S42" s="112"/>
      <c r="T42" s="65"/>
      <c r="U42" s="81"/>
      <c r="V42" s="65"/>
      <c r="W42" s="65"/>
      <c r="X42" s="81"/>
      <c r="Y42" s="65"/>
      <c r="Z42" s="112"/>
      <c r="AA42" s="65"/>
      <c r="AB42" s="81"/>
      <c r="AC42" s="75"/>
      <c r="AD42" s="75"/>
      <c r="AE42" s="81"/>
      <c r="AF42" s="32"/>
    </row>
    <row r="43" spans="2:32" ht="36.950000000000003" customHeight="1" thickTop="1" thickBot="1" x14ac:dyDescent="0.5">
      <c r="B43" s="353"/>
      <c r="D43" s="359"/>
      <c r="E43" s="110"/>
      <c r="F43" s="71" t="s">
        <v>1445</v>
      </c>
      <c r="G43" s="84" t="s">
        <v>158</v>
      </c>
      <c r="H43" s="81"/>
      <c r="I43" s="81"/>
      <c r="J43" s="81"/>
      <c r="K43" s="111"/>
      <c r="L43" s="112"/>
      <c r="M43" s="95"/>
      <c r="N43" s="84" t="s">
        <v>159</v>
      </c>
      <c r="O43" s="75"/>
      <c r="P43" s="64"/>
      <c r="Q43" s="317" t="s">
        <v>160</v>
      </c>
      <c r="R43" s="111"/>
      <c r="S43" s="112"/>
      <c r="T43" s="76"/>
      <c r="U43" s="232" t="s">
        <v>161</v>
      </c>
      <c r="V43" s="65"/>
      <c r="W43" s="76"/>
      <c r="X43" s="232" t="s">
        <v>162</v>
      </c>
      <c r="Y43" s="65"/>
      <c r="Z43" s="112"/>
      <c r="AA43" s="76"/>
      <c r="AB43" s="232" t="s">
        <v>163</v>
      </c>
      <c r="AC43" s="65"/>
      <c r="AD43" s="65"/>
      <c r="AE43" s="85"/>
      <c r="AF43" s="32"/>
    </row>
    <row r="44" spans="2:32" ht="15" thickTop="1" thickBot="1" x14ac:dyDescent="0.5">
      <c r="B44" s="353"/>
      <c r="D44" s="359"/>
      <c r="E44" s="110"/>
      <c r="F44" s="65"/>
      <c r="G44" s="81"/>
      <c r="H44" s="81"/>
      <c r="I44" s="81"/>
      <c r="J44" s="81"/>
      <c r="K44" s="111"/>
      <c r="L44" s="112"/>
      <c r="M44" s="65"/>
      <c r="N44" s="81"/>
      <c r="O44" s="75"/>
      <c r="P44" s="75"/>
      <c r="Q44" s="81"/>
      <c r="R44" s="111"/>
      <c r="S44" s="112"/>
      <c r="T44" s="65"/>
      <c r="U44" s="81"/>
      <c r="V44" s="65"/>
      <c r="W44" s="65"/>
      <c r="X44" s="81"/>
      <c r="Y44" s="65"/>
      <c r="Z44" s="112"/>
      <c r="AA44" s="65"/>
      <c r="AB44" s="81"/>
      <c r="AC44" s="75"/>
      <c r="AD44" s="75"/>
      <c r="AE44" s="81"/>
      <c r="AF44" s="32"/>
    </row>
    <row r="45" spans="2:32" ht="36.950000000000003" customHeight="1" thickTop="1" thickBot="1" x14ac:dyDescent="0.5">
      <c r="B45" s="353"/>
      <c r="D45" s="359"/>
      <c r="E45" s="110"/>
      <c r="F45" s="65"/>
      <c r="G45" s="81"/>
      <c r="H45" s="81"/>
      <c r="I45" s="81"/>
      <c r="J45" s="81"/>
      <c r="K45" s="111"/>
      <c r="L45" s="112"/>
      <c r="M45" s="71" t="s">
        <v>1446</v>
      </c>
      <c r="N45" s="84" t="s">
        <v>164</v>
      </c>
      <c r="O45" s="75"/>
      <c r="P45" s="71"/>
      <c r="Q45" s="84" t="s">
        <v>165</v>
      </c>
      <c r="R45" s="111"/>
      <c r="S45" s="112"/>
      <c r="T45" s="76"/>
      <c r="U45" s="232" t="s">
        <v>166</v>
      </c>
      <c r="V45" s="65"/>
      <c r="W45" s="76"/>
      <c r="X45" s="232" t="s">
        <v>167</v>
      </c>
      <c r="Y45" s="65"/>
      <c r="Z45" s="112"/>
      <c r="AA45" s="65"/>
      <c r="AB45" s="81"/>
      <c r="AC45" s="75"/>
      <c r="AD45" s="75"/>
      <c r="AE45" s="81"/>
      <c r="AF45" s="32"/>
    </row>
    <row r="46" spans="2:32" ht="15" thickTop="1" thickBot="1" x14ac:dyDescent="0.5">
      <c r="B46" s="353"/>
      <c r="D46" s="359"/>
      <c r="E46" s="110"/>
      <c r="F46" s="65"/>
      <c r="G46" s="81"/>
      <c r="H46" s="81"/>
      <c r="I46" s="81"/>
      <c r="J46" s="81"/>
      <c r="K46" s="111"/>
      <c r="L46" s="112"/>
      <c r="M46" s="65"/>
      <c r="N46" s="81"/>
      <c r="O46" s="75"/>
      <c r="P46" s="75"/>
      <c r="Q46" s="81"/>
      <c r="R46" s="111"/>
      <c r="S46" s="112"/>
      <c r="V46" s="65"/>
      <c r="Y46" s="65"/>
      <c r="Z46" s="112"/>
      <c r="AA46" s="65"/>
      <c r="AB46" s="81"/>
      <c r="AC46" s="75"/>
      <c r="AD46" s="75"/>
      <c r="AE46" s="81"/>
      <c r="AF46" s="32"/>
    </row>
    <row r="47" spans="2:32" ht="15" thickTop="1" thickBot="1" x14ac:dyDescent="0.5">
      <c r="B47" s="353"/>
      <c r="D47" s="360" t="s">
        <v>168</v>
      </c>
      <c r="E47" s="116"/>
      <c r="F47" s="87"/>
      <c r="G47" s="88"/>
      <c r="H47" s="88"/>
      <c r="I47" s="88"/>
      <c r="J47" s="88"/>
      <c r="K47" s="90"/>
      <c r="L47" s="91"/>
      <c r="M47" s="87"/>
      <c r="N47" s="88"/>
      <c r="O47" s="89"/>
      <c r="P47" s="89"/>
      <c r="Q47" s="88"/>
      <c r="R47" s="90"/>
      <c r="S47" s="91"/>
      <c r="T47" s="87"/>
      <c r="U47" s="88"/>
      <c r="V47" s="87"/>
      <c r="W47" s="87"/>
      <c r="X47" s="88"/>
      <c r="Y47" s="90"/>
      <c r="Z47" s="91"/>
      <c r="AA47" s="87"/>
      <c r="AB47" s="88"/>
      <c r="AC47" s="89"/>
      <c r="AD47" s="89"/>
      <c r="AE47" s="88"/>
      <c r="AF47" s="35"/>
    </row>
    <row r="48" spans="2:32" ht="36.950000000000003" customHeight="1" thickTop="1" thickBot="1" x14ac:dyDescent="0.5">
      <c r="B48" s="353"/>
      <c r="D48" s="361"/>
      <c r="E48" s="117"/>
      <c r="F48" s="114"/>
      <c r="G48" s="84" t="s">
        <v>1287</v>
      </c>
      <c r="H48" s="67"/>
      <c r="I48" s="114"/>
      <c r="J48" s="84" t="s">
        <v>292</v>
      </c>
      <c r="K48" s="72"/>
      <c r="L48" s="73"/>
      <c r="M48" s="95"/>
      <c r="N48" s="84" t="s">
        <v>169</v>
      </c>
      <c r="O48" s="70"/>
      <c r="P48" s="71"/>
      <c r="Q48" s="84" t="s">
        <v>1296</v>
      </c>
      <c r="R48" s="72"/>
      <c r="S48" s="73"/>
      <c r="T48" s="71"/>
      <c r="U48" s="84" t="s">
        <v>1447</v>
      </c>
      <c r="V48" s="74"/>
      <c r="W48" s="71"/>
      <c r="X48" s="84" t="s">
        <v>170</v>
      </c>
      <c r="Y48" s="72"/>
      <c r="Z48" s="73"/>
      <c r="AA48" s="83"/>
      <c r="AB48" s="84" t="s">
        <v>171</v>
      </c>
      <c r="AC48" s="70"/>
      <c r="AD48" s="83"/>
      <c r="AE48" s="84" t="s">
        <v>1426</v>
      </c>
      <c r="AF48" s="34"/>
    </row>
    <row r="49" spans="2:32" ht="15" thickTop="1" thickBot="1" x14ac:dyDescent="0.5">
      <c r="B49" s="353"/>
      <c r="D49" s="361"/>
      <c r="E49" s="117"/>
      <c r="F49" s="74"/>
      <c r="G49" s="67"/>
      <c r="H49" s="67"/>
      <c r="I49" s="67"/>
      <c r="J49" s="67"/>
      <c r="K49" s="72"/>
      <c r="L49" s="73"/>
      <c r="M49" s="74"/>
      <c r="N49" s="67"/>
      <c r="O49" s="70"/>
      <c r="P49" s="70"/>
      <c r="Q49" s="67"/>
      <c r="R49" s="72"/>
      <c r="S49" s="73"/>
      <c r="T49" s="74"/>
      <c r="U49" s="67"/>
      <c r="V49" s="74"/>
      <c r="W49" s="74"/>
      <c r="X49" s="67"/>
      <c r="Y49" s="72"/>
      <c r="Z49" s="73"/>
      <c r="AA49" s="74"/>
      <c r="AB49" s="67"/>
      <c r="AC49" s="70"/>
      <c r="AD49" s="70"/>
      <c r="AE49" s="67"/>
      <c r="AF49" s="34"/>
    </row>
    <row r="50" spans="2:32" ht="36.950000000000003" customHeight="1" thickTop="1" thickBot="1" x14ac:dyDescent="0.5">
      <c r="B50" s="353"/>
      <c r="D50" s="361"/>
      <c r="E50" s="117"/>
      <c r="F50" s="114"/>
      <c r="G50" s="84" t="s">
        <v>1285</v>
      </c>
      <c r="H50" s="67"/>
      <c r="I50" s="71"/>
      <c r="J50" s="84" t="s">
        <v>1286</v>
      </c>
      <c r="K50" s="72"/>
      <c r="L50" s="73"/>
      <c r="M50" s="95"/>
      <c r="N50" s="84" t="s">
        <v>172</v>
      </c>
      <c r="O50" s="70"/>
      <c r="P50" s="71"/>
      <c r="Q50" s="84" t="s">
        <v>173</v>
      </c>
      <c r="R50" s="72"/>
      <c r="S50" s="73"/>
      <c r="T50" s="71"/>
      <c r="U50" s="84" t="s">
        <v>174</v>
      </c>
      <c r="V50" s="74"/>
      <c r="W50" s="71"/>
      <c r="X50" s="84" t="s">
        <v>175</v>
      </c>
      <c r="Y50" s="72"/>
      <c r="Z50" s="73"/>
      <c r="AA50" s="83"/>
      <c r="AB50" s="84" t="s">
        <v>176</v>
      </c>
      <c r="AC50" s="70"/>
      <c r="AD50" s="83"/>
      <c r="AE50" s="84" t="s">
        <v>177</v>
      </c>
      <c r="AF50" s="34"/>
    </row>
    <row r="51" spans="2:32" ht="15" thickTop="1" thickBot="1" x14ac:dyDescent="0.5">
      <c r="B51" s="353"/>
      <c r="D51" s="361"/>
      <c r="E51" s="117"/>
      <c r="F51" s="74"/>
      <c r="G51" s="67"/>
      <c r="H51" s="67"/>
      <c r="I51" s="67"/>
      <c r="J51" s="67"/>
      <c r="K51" s="72"/>
      <c r="L51" s="73"/>
      <c r="M51" s="74"/>
      <c r="N51" s="67"/>
      <c r="O51" s="70"/>
      <c r="P51" s="70"/>
      <c r="Q51" s="67"/>
      <c r="R51" s="72"/>
      <c r="S51" s="73"/>
      <c r="T51" s="74"/>
      <c r="U51" s="67"/>
      <c r="V51" s="74"/>
      <c r="W51" s="74"/>
      <c r="X51" s="67"/>
      <c r="Y51" s="72"/>
      <c r="Z51" s="73"/>
      <c r="AA51" s="74"/>
      <c r="AB51" s="67"/>
      <c r="AC51" s="70"/>
      <c r="AD51" s="70"/>
      <c r="AE51" s="67"/>
      <c r="AF51" s="34"/>
    </row>
    <row r="52" spans="2:32" ht="36.950000000000003" customHeight="1" thickTop="1" thickBot="1" x14ac:dyDescent="0.5">
      <c r="B52" s="353"/>
      <c r="D52" s="361"/>
      <c r="E52" s="117"/>
      <c r="F52" s="114"/>
      <c r="G52" s="84" t="s">
        <v>1284</v>
      </c>
      <c r="H52" s="67"/>
      <c r="I52" s="71"/>
      <c r="J52" s="84" t="s">
        <v>178</v>
      </c>
      <c r="K52" s="72"/>
      <c r="L52" s="73"/>
      <c r="M52" s="95"/>
      <c r="N52" s="84" t="s">
        <v>179</v>
      </c>
      <c r="O52" s="70"/>
      <c r="P52" s="71"/>
      <c r="Q52" s="84" t="s">
        <v>180</v>
      </c>
      <c r="R52" s="72"/>
      <c r="S52" s="73"/>
      <c r="T52" s="71"/>
      <c r="U52" s="84" t="s">
        <v>181</v>
      </c>
      <c r="V52" s="74"/>
      <c r="W52" s="71"/>
      <c r="X52" s="84" t="s">
        <v>182</v>
      </c>
      <c r="Y52" s="72"/>
      <c r="Z52" s="73"/>
      <c r="AA52" s="83"/>
      <c r="AB52" s="84" t="s">
        <v>183</v>
      </c>
      <c r="AC52" s="70"/>
      <c r="AD52" s="83"/>
      <c r="AE52" s="84" t="s">
        <v>600</v>
      </c>
      <c r="AF52" s="34"/>
    </row>
    <row r="53" spans="2:32" ht="15" thickTop="1" thickBot="1" x14ac:dyDescent="0.5">
      <c r="B53" s="353"/>
      <c r="D53" s="361"/>
      <c r="E53" s="117"/>
      <c r="F53" s="74"/>
      <c r="G53" s="67"/>
      <c r="H53" s="67"/>
      <c r="I53" s="67"/>
      <c r="J53" s="67"/>
      <c r="K53" s="72"/>
      <c r="L53" s="73"/>
      <c r="M53" s="74"/>
      <c r="N53" s="67"/>
      <c r="O53" s="70"/>
      <c r="P53" s="70"/>
      <c r="Q53" s="67"/>
      <c r="R53" s="72"/>
      <c r="S53" s="73"/>
      <c r="T53" s="74"/>
      <c r="U53" s="67"/>
      <c r="V53" s="74"/>
      <c r="W53" s="74"/>
      <c r="X53" s="67"/>
      <c r="Y53" s="72"/>
      <c r="Z53" s="73"/>
      <c r="AA53" s="74"/>
      <c r="AB53" s="67"/>
      <c r="AC53" s="70"/>
      <c r="AD53" s="70"/>
      <c r="AE53" s="67"/>
      <c r="AF53" s="34"/>
    </row>
    <row r="54" spans="2:32" ht="36.950000000000003" customHeight="1" thickTop="1" thickBot="1" x14ac:dyDescent="0.5">
      <c r="B54" s="353"/>
      <c r="D54" s="361"/>
      <c r="E54" s="117"/>
      <c r="F54" s="114"/>
      <c r="G54" s="84" t="s">
        <v>1282</v>
      </c>
      <c r="H54" s="67"/>
      <c r="I54" s="71"/>
      <c r="J54" s="84" t="s">
        <v>184</v>
      </c>
      <c r="K54" s="72"/>
      <c r="L54" s="73"/>
      <c r="M54" s="95"/>
      <c r="N54" s="84" t="s">
        <v>185</v>
      </c>
      <c r="O54" s="70"/>
      <c r="P54" s="71"/>
      <c r="Q54" s="84" t="s">
        <v>186</v>
      </c>
      <c r="R54" s="72"/>
      <c r="S54" s="73"/>
      <c r="T54" s="71"/>
      <c r="U54" s="84" t="s">
        <v>187</v>
      </c>
      <c r="V54" s="74"/>
      <c r="W54" s="71"/>
      <c r="X54" s="84" t="s">
        <v>188</v>
      </c>
      <c r="Y54" s="72"/>
      <c r="Z54" s="73"/>
      <c r="AA54" s="83"/>
      <c r="AB54" s="84" t="s">
        <v>1425</v>
      </c>
      <c r="AC54" s="70"/>
      <c r="AD54" s="83"/>
      <c r="AE54" s="84" t="s">
        <v>189</v>
      </c>
      <c r="AF54" s="34"/>
    </row>
    <row r="55" spans="2:32" ht="15" thickTop="1" thickBot="1" x14ac:dyDescent="0.5">
      <c r="B55" s="353"/>
      <c r="D55" s="361"/>
      <c r="E55" s="117"/>
      <c r="F55" s="74"/>
      <c r="G55" s="67"/>
      <c r="H55" s="67"/>
      <c r="I55" s="67"/>
      <c r="J55" s="67"/>
      <c r="K55" s="72"/>
      <c r="L55" s="73"/>
      <c r="M55" s="74"/>
      <c r="N55" s="67"/>
      <c r="O55" s="70"/>
      <c r="P55" s="70"/>
      <c r="Q55" s="67"/>
      <c r="R55" s="72"/>
      <c r="S55" s="73"/>
      <c r="T55" s="74"/>
      <c r="U55" s="67"/>
      <c r="V55" s="74"/>
      <c r="W55" s="74"/>
      <c r="X55" s="67"/>
      <c r="Y55" s="72"/>
      <c r="Z55" s="73"/>
      <c r="AA55" s="74"/>
      <c r="AB55" s="67"/>
      <c r="AC55" s="70"/>
      <c r="AD55" s="70"/>
      <c r="AE55" s="67"/>
      <c r="AF55" s="34"/>
    </row>
    <row r="56" spans="2:32" ht="36.950000000000003" customHeight="1" thickTop="1" thickBot="1" x14ac:dyDescent="0.5">
      <c r="B56" s="353"/>
      <c r="D56" s="361"/>
      <c r="E56" s="117"/>
      <c r="F56" s="114"/>
      <c r="G56" s="84" t="s">
        <v>1283</v>
      </c>
      <c r="H56" s="67"/>
      <c r="I56" s="118"/>
      <c r="J56" s="84" t="s">
        <v>277</v>
      </c>
      <c r="K56" s="72"/>
      <c r="L56" s="73"/>
      <c r="M56" s="95"/>
      <c r="N56" s="84" t="s">
        <v>190</v>
      </c>
      <c r="O56" s="70"/>
      <c r="P56" s="71"/>
      <c r="Q56" s="84" t="s">
        <v>191</v>
      </c>
      <c r="R56" s="72"/>
      <c r="S56" s="73"/>
      <c r="T56" s="71"/>
      <c r="U56" s="84" t="s">
        <v>192</v>
      </c>
      <c r="V56" s="74"/>
      <c r="W56" s="74"/>
      <c r="X56" s="67"/>
      <c r="Y56" s="72"/>
      <c r="Z56" s="73"/>
      <c r="AA56" s="83"/>
      <c r="AB56" s="84" t="s">
        <v>193</v>
      </c>
      <c r="AC56" s="70"/>
      <c r="AD56" s="70"/>
      <c r="AE56" s="67"/>
      <c r="AF56" s="34"/>
    </row>
    <row r="57" spans="2:32" ht="15" thickTop="1" thickBot="1" x14ac:dyDescent="0.5">
      <c r="B57" s="353"/>
      <c r="D57" s="361"/>
      <c r="E57" s="117"/>
      <c r="F57" s="74"/>
      <c r="G57" s="67"/>
      <c r="H57" s="67"/>
      <c r="I57" s="67"/>
      <c r="J57" s="84"/>
      <c r="K57" s="72"/>
      <c r="L57" s="73"/>
      <c r="M57" s="74"/>
      <c r="N57" s="67"/>
      <c r="O57" s="70"/>
      <c r="P57" s="70"/>
      <c r="Q57" s="67"/>
      <c r="R57" s="72"/>
      <c r="S57" s="73"/>
      <c r="T57" s="74"/>
      <c r="U57" s="67"/>
      <c r="V57" s="74"/>
      <c r="W57" s="74"/>
      <c r="X57" s="67"/>
      <c r="Y57" s="72"/>
      <c r="Z57" s="73"/>
      <c r="AA57" s="74"/>
      <c r="AB57" s="67"/>
      <c r="AC57" s="70"/>
      <c r="AD57" s="70"/>
      <c r="AE57" s="67"/>
      <c r="AF57" s="34"/>
    </row>
    <row r="58" spans="2:32" ht="31.35" customHeight="1" thickTop="1" thickBot="1" x14ac:dyDescent="0.5">
      <c r="B58" s="353"/>
      <c r="D58" s="361"/>
      <c r="E58" s="117"/>
      <c r="F58" s="114"/>
      <c r="G58" s="84" t="s">
        <v>194</v>
      </c>
      <c r="H58" s="67"/>
      <c r="I58" s="118"/>
      <c r="J58" s="84" t="s">
        <v>1281</v>
      </c>
      <c r="K58" s="72"/>
      <c r="L58" s="73"/>
      <c r="M58" s="95"/>
      <c r="N58" s="84" t="s">
        <v>195</v>
      </c>
      <c r="O58" s="70"/>
      <c r="P58" s="71"/>
      <c r="Q58" s="84" t="s">
        <v>1295</v>
      </c>
      <c r="R58" s="72"/>
      <c r="S58" s="73"/>
      <c r="T58" s="74"/>
      <c r="U58" s="67"/>
      <c r="V58" s="74"/>
      <c r="W58" s="74"/>
      <c r="X58" s="67"/>
      <c r="Y58" s="72"/>
      <c r="Z58" s="73"/>
      <c r="AA58" s="74"/>
      <c r="AB58" s="67"/>
      <c r="AC58" s="70"/>
      <c r="AD58" s="70"/>
      <c r="AE58" s="67"/>
      <c r="AF58" s="34"/>
    </row>
    <row r="59" spans="2:32" ht="15" thickTop="1" thickBot="1" x14ac:dyDescent="0.5">
      <c r="B59" s="354"/>
      <c r="D59" s="362"/>
      <c r="E59" s="119"/>
      <c r="F59" s="97"/>
      <c r="G59" s="98"/>
      <c r="H59" s="98"/>
      <c r="I59" s="98"/>
      <c r="J59" s="98"/>
      <c r="K59" s="99"/>
      <c r="L59" s="100"/>
      <c r="M59" s="97"/>
      <c r="N59" s="98"/>
      <c r="O59" s="101"/>
      <c r="P59" s="101"/>
      <c r="Q59" s="98"/>
      <c r="R59" s="99"/>
      <c r="S59" s="100"/>
      <c r="T59" s="97"/>
      <c r="U59" s="98"/>
      <c r="V59" s="97"/>
      <c r="W59" s="97"/>
      <c r="X59" s="98"/>
      <c r="Y59" s="99"/>
      <c r="Z59" s="100"/>
      <c r="AA59" s="97"/>
      <c r="AB59" s="102"/>
      <c r="AC59" s="97"/>
      <c r="AD59" s="97"/>
      <c r="AE59" s="102"/>
      <c r="AF59" s="33"/>
    </row>
    <row r="60" spans="2:32" ht="15" thickTop="1" x14ac:dyDescent="0.45"/>
  </sheetData>
  <mergeCells count="8">
    <mergeCell ref="Z10:AF10"/>
    <mergeCell ref="L10:R10"/>
    <mergeCell ref="E10:K10"/>
    <mergeCell ref="B11:B59"/>
    <mergeCell ref="D11:D29"/>
    <mergeCell ref="D30:D46"/>
    <mergeCell ref="D47:D59"/>
    <mergeCell ref="S10:Y10"/>
  </mergeCells>
  <conditionalFormatting sqref="P48">
    <cfRule type="iconSet" priority="115">
      <iconSet iconSet="3Arrows">
        <cfvo type="percent" val="0"/>
        <cfvo type="percent" val="33"/>
        <cfvo type="percent" val="67"/>
      </iconSet>
    </cfRule>
  </conditionalFormatting>
  <hyperlinks>
    <hyperlink ref="Q58" location="'SCIMP Plan'!A78" display="Entra Domain Join or Hybrid Domain Join" xr:uid="{09C5127C-FE5B-4B4A-88B2-9E027161090A}"/>
    <hyperlink ref="Q31" location="'SCIMP Plan'!A86" display="Intune Tunnel for MAM" xr:uid="{AA70E1DB-1C10-4536-BC5C-244A5D970477}"/>
    <hyperlink ref="G18" location="'SCIMP Plan'!A32" display="CA: Target Resources (Authenication Context)" xr:uid="{8782ACC2-8520-4119-AA9A-04B191E69622}"/>
    <hyperlink ref="G43" location="'SCIMP Plan'!A31" display="CA: Authentication Strength" xr:uid="{BC16F468-83A2-4F23-A492-91F084F68DF7}"/>
    <hyperlink ref="X22" location="'SCIMP Plan'!A148" display="MDC - Microsoft Defender for DevOps" xr:uid="{9202B85F-2840-4E8A-A9D4-095AAFAC5CB2}"/>
    <hyperlink ref="X28" location="'SCIMP Plan'!A178" display="Microsoft Defender External Attack Surface Management" xr:uid="{8BFD13D6-3A94-4838-9673-CCF0CE365BF7}"/>
    <hyperlink ref="U26" location="'SCIMP Plan'!A177" display="Microsoft Defender Threat Intelligence" xr:uid="{B75969E1-0ED1-446D-9210-5A548B34C9B6}"/>
    <hyperlink ref="J41" location="'SCIMP Plan'!A71" display="Process - Assess Secure Score" xr:uid="{8E1364DD-382C-4BC2-80DB-7E4AA1213CCF}"/>
    <hyperlink ref="AB43" location="'SCIMP Plan'!A224" display="Azure Policy" xr:uid="{0781E152-A01E-45BA-A42D-ABCB3A537AB4}"/>
    <hyperlink ref="AE22" location="'SCIMP Plan'!A226" display="Microsoft Purview Customer Key" xr:uid="{956E51CD-3C54-4717-A8D9-565610A8CF5A}"/>
    <hyperlink ref="AE39" location="'SCIMP Plan'!A220" display="Microsoft Purview Compliance Manager" xr:uid="{B8051C1A-D874-4312-BD9C-2FDA604B8F3A}"/>
    <hyperlink ref="AB41" location="'SCIMP Plan'!A218" display="Azure Monitor" xr:uid="{5B7446CC-F46E-4A39-8093-874813DBFEB3}"/>
    <hyperlink ref="X24" location="'SCIMP Plan'!A153" display="Azure Web Application Firewall" xr:uid="{75D20305-0B4E-4FEB-AD8A-8937A78B788E}"/>
    <hyperlink ref="X26" location="'SCIMP Plan'!A155" display="Azure Front Door" xr:uid="{0E2E957F-7E82-44CC-B365-12DB8B7B2501}"/>
    <hyperlink ref="U24" location="'SCIMP Plan'!A151" display="Azure Firewall" xr:uid="{A40DC5E0-129A-4BA8-B4B8-EACA5278008E}"/>
    <hyperlink ref="U22" location="'SCIMP Plan'!A149" display="MDC - Microsoft Defender for IoT" xr:uid="{CB70F862-1E66-4DD3-A93D-EC89A6606C73}"/>
    <hyperlink ref="AE14" location="'SCIMP Plan'!A209" display="Microsoft Purview Data Connectors" xr:uid="{EC6A1BDA-D088-419D-AC0D-3E49E1D243A4}"/>
    <hyperlink ref="AB14" location="'SCIMP Plan'!A207" display="Microsoft Purview Data Mapping" xr:uid="{EA4FA49C-B5C0-4CBE-8E9E-3A60A32B252F}"/>
    <hyperlink ref="X45" location="'SCIMP Plan'!A152" display="Azure DDoS Protection" xr:uid="{65DC1AB4-5678-4DCC-AD53-EF69198B8815}"/>
    <hyperlink ref="U45" location="'SCIMP Plan'!A156" display="Azure Bastion" xr:uid="{8D4B0FFC-B7C2-4005-B3B3-01BBD84A1761}"/>
    <hyperlink ref="X35" location="'SCIMP Plan'!A138" display="MDC - Microsoft Defender for Servers (P1)" xr:uid="{767A9254-825E-4150-A57E-B9051F779B9B}"/>
    <hyperlink ref="U43" location="'SCIMP Plan'!A135" display="Azure Arc deployment" xr:uid="{F9C163D8-F033-4276-9F88-AC1CA9097E27}"/>
    <hyperlink ref="AB56" location="'SCIMP Plan'!A183" display="Process - Define Classification Schema" xr:uid="{3CF60F47-A572-4974-8445-536D0556A1E8}"/>
    <hyperlink ref="AE54" location="'SCIMP Plan'!A184" display="Define Sensitive Information Types" xr:uid="{C2915FB1-9FFC-4E7A-A4B9-F50C90452792}"/>
    <hyperlink ref="AB54" location="'SCIMP Plan'!A194" display="Set Organization Level External Sharing settings" xr:uid="{FBB47A52-01EC-4D9C-951F-E1B4911E006D}"/>
    <hyperlink ref="AE52" location="'SCIMP Plan'!A216" display="Microsoft Purview Audit (Standard)" xr:uid="{94E0252C-AA44-455B-A824-2F7248124517}"/>
    <hyperlink ref="AB52" location="'SCIMP Plan'!A210" display="Microsoft Purview Data Liftcycle Management" xr:uid="{B15E8C43-A566-4ED7-B775-3F787704BA2D}"/>
    <hyperlink ref="AE50" location="'SCIMP Plan'!A213" display="Microsoft Purview eDiscovery (Standard)" xr:uid="{1E59E01E-7FE8-468A-904C-CFC92E35F752}"/>
    <hyperlink ref="AB50" location="'SCIMP Plan'!A196" display="Microsoft Purview Data Loss Prevention" xr:uid="{7CB179F0-6837-4705-A338-A186990CDF86}"/>
    <hyperlink ref="AE48" location="'SCIMP Plan'!A190" display="Microsoft Purview Labelling Scanner (Discovery Only)" xr:uid="{DB87B464-78C2-4779-BC04-58619666B7B0}"/>
    <hyperlink ref="AB48" location="'SCIMP Plan'!A185" display="Microsoft Purview Information Protection: Manual Labelling" xr:uid="{DD71576C-1A3B-4AAF-B65D-1D356D0B9943}"/>
    <hyperlink ref="AB39" location="'SCIMP Plan'!A186" display="Microsoft Purview Information Protection: Auto Labelling" xr:uid="{78B2676E-52F3-4678-9304-73E1A51D120A}"/>
    <hyperlink ref="AE41" location="'SCIMP Plan'!A198" display="Office Message Encryption" xr:uid="{32119CAC-E301-4290-BE77-3DF9C5871D82}"/>
    <hyperlink ref="AB37" location="'SCIMP Plan'!A191" display="Purview Labelling Scanner - Classify/Label/Protect" xr:uid="{AB07EE5F-8686-4F2B-86FA-E585E9155026}"/>
    <hyperlink ref="AE37" location="'SCIMP Plan'!A200" display="Teams Data Loss Prevention" xr:uid="{ED4727BD-76BF-4D11-9CAA-C1F84736E289}"/>
    <hyperlink ref="AE35" location="'SCIMP Plan'!A202" display="On-premises DLP" xr:uid="{FE48F222-EDCC-4A71-B37B-0D3C6F2F94C5}"/>
    <hyperlink ref="AB35" location="'SCIMP Plan'!A211" display="Microsoft Purview Records Management" xr:uid="{D1312578-E073-4858-AF4C-54D4DD0FFDA0}"/>
    <hyperlink ref="AE33" location="'SCIMP Plan'!A189" display="Microsoft Defender for Cloud Apps (Shadow IT)" xr:uid="{FBF9FFF3-DB97-4C81-9E7F-CEE5C27C8454}"/>
    <hyperlink ref="AB33" location="'SCIMP Plan'!A201" display="Endpoint DLP" xr:uid="{C507E3E3-F7B0-4157-A03A-E9B56AF975CD}"/>
    <hyperlink ref="AE31" location="'SCIMP Plan'!A214" display="Microsoft Purview eDiscovery (Premium)" xr:uid="{DAFC61F3-5D47-4119-9108-9372C7BD54E7}"/>
    <hyperlink ref="AB31" location="'SCIMP Plan'!A225" display="Microsoft Purview Customer Lockbox" xr:uid="{0C11FFE9-13E5-4380-9B44-F1F851ACD384}"/>
    <hyperlink ref="AB22" location="'SCIMP Plan'!A195" display="Microsoft Defender for Cloud Apps (Data Governance)" xr:uid="{90105CD3-FB90-466D-B939-F99D07E61993}"/>
    <hyperlink ref="AE20" location="'SCIMP Plan'!A227" display="Microsoft Purview Double Key Encryption" xr:uid="{DEDEB542-5F47-4B99-B966-AD237B94A161}"/>
    <hyperlink ref="AB20" location="'SCIMP Plan'!A217" display="Microsoft Purview Audit (Premium)" xr:uid="{460F0A8F-1C59-4EC3-AD57-27FFF97ED208}"/>
    <hyperlink ref="AE18" location="'SCIMP Plan'!A188" display="Exact Data Match" xr:uid="{631D4320-4FAB-4586-8753-D2BC57370410}"/>
    <hyperlink ref="AB18" location="'SCIMP Plan'!A187" display="Trainable Classifers" xr:uid="{D88C4BEE-543C-4972-B2FF-E6621EA912B6}"/>
    <hyperlink ref="AE16" location="'SCIMP Plan'!A221" display="Microsoft Purview Communication Compliance" xr:uid="{1ADAFAB7-DFFE-4CE8-8336-CC4329B02BDA}"/>
    <hyperlink ref="AB16" location="'SCIMP Plan'!A203" display="Microsoft Purview Insider Risk Management" xr:uid="{A1BCD4F6-E56E-436E-A516-1F0A82ADFBD2}"/>
    <hyperlink ref="AE12" location="'SCIMP Plan'!A222" display="Microsoft Priva" xr:uid="{2A4E6FD2-A9F8-455C-A700-0F80D13C749A}"/>
    <hyperlink ref="AB12" location="'SCIMP Plan'!A208" display="Microsoft Purview Data Catalogue" xr:uid="{F6711270-1991-47E8-A4D8-ED22837A7B88}"/>
    <hyperlink ref="U56" location="'SCIMP Plan'!A171" display="Configure Teams Guest Access" xr:uid="{327EA851-A1A2-47B5-B175-8EA5CEC67E29}"/>
    <hyperlink ref="X54" location="'SCIMP Plan'!A170" display="Configure Teams External Access (Federation)" xr:uid="{FEE3F10D-020B-4EBF-A795-0F540D46C6B0}"/>
    <hyperlink ref="U54" location="'SCIMP Plan'!A168" display="Transport rules: Block known ransomware files" xr:uid="{EFAF4387-53D6-4AC8-8962-6E0A861C4BBF}"/>
    <hyperlink ref="X52" location="'SCIMP Plan'!A167" display="Block Client forwarding rules" xr:uid="{333F9C8F-E0C0-4714-B5C2-EB4ECE23DC04}"/>
    <hyperlink ref="U52" location="'SCIMP Plan'!A166" display="Do not allow anonymous calendar sharing" xr:uid="{3A973BE8-FAC1-466C-A84B-753780893B67}"/>
    <hyperlink ref="X50" location="'SCIMP Plan'!A165" display="Secure External Mailflow (TSL, DKIM, DMARC, SPF)" xr:uid="{65D6ABAC-0BE8-4111-B6EE-9362CFE0CFA4}"/>
    <hyperlink ref="U50" location="'SCIMP Plan'!A159" display="Office 365 Antimalware Configuration" xr:uid="{2E380767-7ADB-45E2-A940-17838D87C754}"/>
    <hyperlink ref="X48" location="'SCIMP Plan'!A163" display="Exchange Online Protection" xr:uid="{23B0AB13-B2BB-4F63-8068-79F08867B1A4}"/>
    <hyperlink ref="U48" location="'SCIMP Plan'!A124" display="Microsoft Defender Antivirus (MDE P1)" xr:uid="{90AEE294-9BAF-49E2-A60F-825D4ADB31CF}"/>
    <hyperlink ref="X43" location="'SCIMP Plan'!A137" display="Defender for Cloud CSPM" xr:uid="{A3472C4E-5F8F-4CD6-A04D-643DC1294159}"/>
    <hyperlink ref="U41" location="'SCIMP Plan'!A124" display="MDE policy configuration" xr:uid="{6C433168-2F9D-40D6-B505-4056BC051A51}"/>
    <hyperlink ref="X41" location="'SCIMP Plan'!A127" display="MDE for Mac OS" xr:uid="{975A85ED-3A28-4A9C-8734-7C5605AF1FD6}"/>
    <hyperlink ref="U39" location="'SCIMP Plan'!A126" display="MDE for Windows Desktops" xr:uid="{C091610A-54DA-4EDA-8C06-292BDCDD2CBE}"/>
    <hyperlink ref="X39" location="'SCIMP Plan'!A128" display="MDE for Android" xr:uid="{8542B37A-6D5E-479C-BD6E-A0DFB335EF1B}"/>
    <hyperlink ref="U37" location="'SCIMP Plan'!A129" display="MDE for iOS" xr:uid="{4757E803-1E7E-4C89-9CB2-EEABC0A05006}"/>
    <hyperlink ref="X31" location="'SCIMP Plan'!A125" display="Microsoft Threat Experts" xr:uid="{86C1B89F-8A08-4267-AFA7-F2274DEB6614}"/>
    <hyperlink ref="U35" location="'SCIMP Plan'!A160" display="Defender for Office 365" xr:uid="{98CB99EA-0F04-4321-AFFC-FF27640C595E}"/>
    <hyperlink ref="X37" location="'SCIMP Plan'!A164" display="Attack Simulator v2" xr:uid="{E8AA04A8-ED0F-4581-863E-4870C26514D2}"/>
    <hyperlink ref="U33" location="'SCIMP Plan'!A173" display="Defender for Identity" xr:uid="{E1182A04-BC5A-4435-BB32-D0CBFB94E418}"/>
    <hyperlink ref="X33" location="'SCIMP Plan'!A174" display="Microsoft Defender for Cloud Apps (Threat)" xr:uid="{294912E5-C85B-4342-AE66-D01AEBA267C2}"/>
    <hyperlink ref="U31" location="'SCIMP Plan'!A176" display="Microsoft 365 Defender XDR" xr:uid="{B76791A3-2A41-4313-B196-CE600057C43E}"/>
    <hyperlink ref="U28" location="'SCIMP Plan'!A161" display="Safe Documents" xr:uid="{ADDBA262-11D6-45AE-8F28-3F7A39D26A33}"/>
    <hyperlink ref="X20" location="'SCIMP Plan'!A147" display="MDC - Microsoft Defender for Open Source DBs" xr:uid="{7024C600-CEE6-4F04-8507-D3F651F11210}"/>
    <hyperlink ref="U20" location="'SCIMP Plan'!A146" display="MDC - Microsoft Defender for App Service" xr:uid="{398C6EE9-6EB2-4CAE-A0CB-1B046616183E}"/>
    <hyperlink ref="X18" location="'SCIMP Plan'!A145" display="MDC - Microsoft Defender for DNS" xr:uid="{D7B537CC-697C-409D-864C-1B68A88401B1}"/>
    <hyperlink ref="U18" location="'SCIMP Plan'!A144" display="MDC - Microsoft Defender for Resource Manager" xr:uid="{B0C78D41-140B-41BD-A0D0-7A8744D303D9}"/>
    <hyperlink ref="X16" location="'SCIMP Plan'!A143" display="MDC - Microsoft Defender for Key Vault" xr:uid="{8A427A57-34F2-4A96-93AF-DCC0FE6F0F14}"/>
    <hyperlink ref="U16" location="'SCIMP Plan'!A142" display="MDC - Microsoft Defender for Containers" xr:uid="{671DFF4F-E9EA-4770-B7D0-DEAAF192C2C1}"/>
    <hyperlink ref="X14" location="'SCIMP Plan'!A141" display="MDC - Microsoft Defender for SQL" xr:uid="{9D08878A-07A8-40D5-B1AE-AC2F6877FC25}"/>
    <hyperlink ref="U14" location="'SCIMP Plan'!A140" display="MDC - Microsoft Defender for Storage" xr:uid="{23919C60-3ECA-4B8B-B839-90BB60223364}"/>
    <hyperlink ref="U12" location="'SCIMP Plan'!A179" display="Microsoft Sentinel" xr:uid="{99B720C9-F947-4676-9F38-43B486AEBF7C}"/>
    <hyperlink ref="N58" location="'SCIMP Plan'!A118" display="Unified Write Filter" xr:uid="{DFFB7A20-0596-4543-B10A-F1EEA946358C}"/>
    <hyperlink ref="Q56" location="'SCIMP Plan'!A77" display="Corp: MDM Polices - Desktop OS" xr:uid="{3F43766F-4E7F-4DD0-AF1E-9DB382DC1882}"/>
    <hyperlink ref="N56" location="'SCIMP Plan'!A75" display="Base Line Compliance Policies" xr:uid="{161BC5A2-9798-43C3-AD99-16EDA0BACA42}"/>
    <hyperlink ref="Q54" location="'SCIMP Plan'!A75" display="Corp: MDM Config (iOS Android)" xr:uid="{20E8A85C-1C95-49DE-8D0C-46C04A945908}"/>
    <hyperlink ref="N54" location="'SCIMP Plan'!A76" display="Corp: MAM Polices - Mobile OS" xr:uid="{157B040F-0F0E-4315-90F7-DC0D4FE794C3}"/>
    <hyperlink ref="Q52" location="'SCIMP Plan'!A120" display="BitLocker" xr:uid="{DB48AF9C-46D1-48DA-AE93-92C022E62DE7}"/>
    <hyperlink ref="N52" location="'SCIMP Plan'!A119" display="Windows Firewall" xr:uid="{48D02C15-CE3E-45EE-A904-0D24A8EE29FB}"/>
    <hyperlink ref="Q50" location="'SCIMP Plan'!A113" display="Microsoft Defender System Guard" xr:uid="{75C8C5CB-6552-4AE8-B750-73EEA33FC92F}"/>
    <hyperlink ref="N50" location="'SCIMP Plan'!A112" display="Microsoft Defender Credential Guard" xr:uid="{793C9929-5A35-467B-8B5A-2DB59586A723}"/>
    <hyperlink ref="Q48" location="'SCIMP Plan'!A104" display="Windows Client Evergreen Plan (WUfB)" xr:uid="{42A3A5E7-DA12-487D-84E0-880878C3147D}"/>
    <hyperlink ref="N48" location="'SCIMP Plan'!A103" display="Windows 10/11 Deployment" xr:uid="{D672FC9B-7C7A-4010-8C35-A6F658B36D8D}"/>
    <hyperlink ref="N14" location="'SCIMP Plan'!A105" display="Windows AutoPatch" xr:uid="{2DC8C1EF-9A05-488D-AECE-3E430689C604}"/>
    <hyperlink ref="Q14" location="'SCIMP Plan'!A121" display="Windows 365" xr:uid="{61269974-2C99-4601-8F67-08ECF0AB2168}"/>
    <hyperlink ref="N31" location="'SCIMP Plan'!A45" display="Microsoft Tunnel" xr:uid="{D9721755-8782-4ABB-A330-D636FF04EA98}"/>
    <hyperlink ref="Q35" location="'SCIMP Plan'!A114" display="Microsoft Defender Exploit Guard (ASR)" xr:uid="{05C9B933-E17C-420B-A51C-CBB0A374BF64}"/>
    <hyperlink ref="N33" location="'SCIMP Plan'!A98" display="ConfigMgr Co-Management Config" xr:uid="{A4231403-1F58-410B-B8D9-A28B967E2D4E}"/>
    <hyperlink ref="Q37" location="'SCIMP Plan'!A97" display="ConfigMgr -Cloud Management Gateway" xr:uid="{96598CCB-48EC-4B7D-B956-C19201A0CC0A}"/>
    <hyperlink ref="Q39" location="'SCIMP Plan'!A82" display="BYOD: MDM Config (iOS Android)" xr:uid="{6B320545-1EFE-41FA-9E88-18015B3FF2E6}"/>
    <hyperlink ref="N35" location="'SCIMP Plan'!A96" display="Update ConfigMgr to Current Branch" xr:uid="{3F623BB8-55DF-497E-AEFB-54E097D773D9}"/>
    <hyperlink ref="N37" location="'SCIMP Plan'!A116" display="Microsoft Defender Application Guard (Edge)" xr:uid="{CE91785C-6DB5-4B54-9892-2A2EE3981181}"/>
    <hyperlink ref="Q41" location="'SCIMP Plan'!A99" display="Process - Migrate Apps to Intune" xr:uid="{C96C2C1A-3E12-4A69-81EE-D682D123A721}"/>
    <hyperlink ref="N39" location="'SCIMP Plan'!A81" display="BYOD - Intune Categories" xr:uid="{18E4A596-AF02-47DF-96C0-FFF5BAAC8956}"/>
    <hyperlink ref="N41" location="'SCIMP Plan'!A83" display="BYOD: MAM Polices - Mobile OS" xr:uid="{27BB0717-1782-45AD-A86B-A3EEBDA967D6}"/>
    <hyperlink ref="Q43" location="'SCIMP Plan'!A90" display="Remote Help" xr:uid="{B5A3C62E-28E2-423F-858F-329A2B35897D}"/>
    <hyperlink ref="Q45" location="'SCIMP Plan'!A107" display="Autopilot Configuration" xr:uid="{96665A60-C41A-4F07-97BE-1C27E8D3B51E}"/>
    <hyperlink ref="N43" location="'SCIMP Plan'!A110" display="Windows Hello" xr:uid="{92826551-7028-426C-AD67-630FA8DCF923}"/>
    <hyperlink ref="Q12" location="'SCIMP Plan'!A117" display="Web Content Filtering (MDE-MDCA)" xr:uid="{34CA3206-B74D-45A8-AABB-EEFC3716AD35}"/>
    <hyperlink ref="N12" location="'SCIMP Plan'!A115" display="Microsoft Defender Application Control" xr:uid="{4FD8D5AC-48EB-4EBF-B702-71737949B586}"/>
    <hyperlink ref="J58" location="'SCIMP Plan'!A4" display="Microsoft Entra Connect Deployment" xr:uid="{14E31800-91D6-4CE8-AFDD-D41991E341AD}"/>
    <hyperlink ref="G58" location="'SCIMP Plan'!A3" display="Identity Object Remediation" xr:uid="{69622DF4-59D8-41DC-8CEC-AD2BF4AC55FC}"/>
    <hyperlink ref="J56" location="'SCIMP Plan'!A13" display="Microsoft Entra Password Protection" xr:uid="{22F22AD1-3A40-4ECF-8619-237BA16A9F3A}"/>
    <hyperlink ref="G56" location="'SCIMP Plan'!A15" display="CA: Target Resources (User Actions - Security info)" xr:uid="{C7D77C6D-0F63-4479-A761-3281AF6414AE}"/>
    <hyperlink ref="J54" location="'SCIMP Plan'!A43" display="Configure Application Consent for Data Access" xr:uid="{F457D3D1-B693-4453-B278-DF96A11B63B5}"/>
    <hyperlink ref="G54" location="'SCIMP Plan'!A25" display="Conditional Access: Block Legacy Auth" xr:uid="{42920B99-936E-47DA-BFAA-516BB03E186F}"/>
    <hyperlink ref="J52" location="'SCIMP Plan'!A58" display="Disable Accounts not used in last 30 days" xr:uid="{D65F7363-F113-44ED-9965-84830B592DC4}"/>
    <hyperlink ref="G52" location="'SCIMP Plan'!A14" display="Conditional Access: Network Assignment" xr:uid="{5DB770D8-FA77-439F-BD78-CD5CC8B6C6B8}"/>
    <hyperlink ref="J50" location="'SCIMP Plan'!A17" display="Self Service Password Reset (SSPR)" xr:uid="{6968571B-9A43-4446-9911-9661DDB715BF}"/>
    <hyperlink ref="G50" location="'SCIMP Plan'!A16" display="Microsoft Entra MFA for all users" xr:uid="{13897B21-621F-4608-9B1F-988189A26B6C}"/>
    <hyperlink ref="G48" location="'SCIMP Plan'!A30" display="CA: Target Resources (User Actions Device Reg.)" xr:uid="{3AE7BB27-79A2-4C72-B4AB-5CD1283E75D6}"/>
    <hyperlink ref="G41" location="'SCIMP Plan'!A26" display="Conditional Access Policies" xr:uid="{3B6BB334-2061-4CB1-8C3F-6775D1C2316A}"/>
    <hyperlink ref="G39" location="'SCIMP Plan'!A60" display="Dynamic User Groups" xr:uid="{60578FD7-54A5-4A6F-A904-5E8FEB328DC6}"/>
    <hyperlink ref="J39" location="'SCIMP Plan'!A29" display="CA: Continuous Access Evaluation" xr:uid="{324FFA3D-B39E-4A05-A809-0AFFE5BFDFE7}"/>
    <hyperlink ref="G37" location="'SCIMP Plan'!A55" display="HR System Integration" xr:uid="{72711B37-CBD4-4EBB-94ED-66B14569481F}"/>
    <hyperlink ref="J37" location="'SCIMP Plan'!A23" display="Enable MFA for On-prem services (RADIUS)" xr:uid="{235E199C-5DB1-475D-BBA2-5B6C30E8CADD}"/>
    <hyperlink ref="J48" location="'SCIMP Plan'!A18" display="Microsoft Entra Temporary Access Passwords" xr:uid="{20EB242F-F9C8-48A0-9633-A8CFBFEB7584}"/>
    <hyperlink ref="J35" location="'SCIMP Plan'!A59" display="Self Service Group Management" xr:uid="{8BD0A1B3-512E-4CCD-9612-FE6E83763346}"/>
    <hyperlink ref="G35" location="'SCIMP Plan'!A46" display="Entra ID - Third party SaaS Applications (SSO)" xr:uid="{664E7334-73D7-4085-BE04-EA0632A08EDB}"/>
    <hyperlink ref="J33" location="'SCIMP Plan'!A44" display="Microsoft Entra App Proxy" xr:uid="{E8F6BEAC-C756-47A1-855D-D9C18E3D9FF8}"/>
    <hyperlink ref="G33" location="'SCIMP Plan'!A19" display="Passwordless Authentication" xr:uid="{E313D1DF-CBD2-40F1-A0EF-ACB3D253AB4B}"/>
    <hyperlink ref="J31" location="'SCIMP Plan'!A37" display="Microsoft Entra RBAC Configuration" xr:uid="{99820E52-91D0-40BC-BD7B-F071F166D4E3}"/>
    <hyperlink ref="J16" location="'SCIMP Plan'!A39" display="Privileged Access Management (Exchange)" xr:uid="{0950F3B1-5A87-4D89-A79E-32DBEEE4E5B4}"/>
    <hyperlink ref="G16" location="'SCIMP Plan'!A38" display="Privilege Identity Management" xr:uid="{DB387236-E6FA-4D7F-A3A3-519D0D1904D7}"/>
    <hyperlink ref="J14" location="'SCIMP Plan'!A28" display="MDCA: Session Controls" xr:uid="{C6D88ED9-C029-4952-8AB5-400A140CC0FA}"/>
    <hyperlink ref="J12" location="'SCIMP Plan'!A62" display="Entra Identity Governance: Entitlement Packages" xr:uid="{B0E33C54-6322-4500-8949-D301BE922499}"/>
    <hyperlink ref="G31" location="'SCIMP Plan'!A215" display="Risk Sign-ins monitoring" xr:uid="{B9BCD70B-9757-4C7E-B67F-C696F9CB5FB4}"/>
    <hyperlink ref="G14" location="'SCIMP Plan'!A61" display="Entra Identity Governance: Access Reviews" xr:uid="{75E99B22-1EF5-4807-9AE0-E210D24A7574}"/>
    <hyperlink ref="G12" location="'SCIMP Plan'!A27" display="Microsoft Entra Identity Protection" xr:uid="{3153F1A8-A9C2-4492-B336-9235B8F2F45B}"/>
    <hyperlink ref="N16" location="'SCIMP Plan'!A92" display="Advanced Endpoint Analytics" xr:uid="{CCCB03A4-674D-4374-8F1B-164B7A97DC29}"/>
    <hyperlink ref="Q16" location="'SCIMP Plan'!A91" display="Endpoint Privilege Management" xr:uid="{A85F5EEB-235A-4C19-9465-AF9B50D63D1B}"/>
    <hyperlink ref="N45" location="'SCIMP Plan'!A79" display="Endpoint Analytics" xr:uid="{7E2D030E-CE67-43F0-AB15-271D00BB6693}"/>
    <hyperlink ref="Q33" location="'SCIMP Plan'!A87" display="Management of Specialty Devices" xr:uid="{047D38DF-75D5-4748-8BD3-56D8520D20CA}"/>
    <hyperlink ref="J18" location="'SCIMP Plan'!A41" display="Microsoft Entra Permissions Management (CIEM)" xr:uid="{4F8112D1-3DAE-4FBF-81F1-567B71F4432C}"/>
    <hyperlink ref="X12" location="'SCIMP Plan'!A139" display="MDC - Microsoft Defender for Servers (P2)" xr:uid="{E633722D-89DA-4F2F-9BE2-3F44F887ADCE}"/>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16" id="{15C3AD5C-29F5-4248-9FC1-5D409FF59A10}">
            <xm:f>'SCIMP Plan'!$F$27="W"</xm:f>
            <x14:dxf>
              <fill>
                <patternFill>
                  <bgColor rgb="FF7030A0"/>
                </patternFill>
              </fill>
            </x14:dxf>
          </x14:cfRule>
          <x14:cfRule type="expression" priority="117" id="{C9778D85-45DD-4AC1-AB16-C7CC19E3123C}">
            <xm:f>'SCIMP Plan'!$F$27="D"</xm:f>
            <x14:dxf>
              <fill>
                <patternFill>
                  <bgColor theme="4"/>
                </patternFill>
              </fill>
            </x14:dxf>
          </x14:cfRule>
          <x14:cfRule type="expression" priority="118" id="{6531CBF3-5072-4BC7-8413-E659CB78B7FE}">
            <xm:f>'SCIMP Plan'!$F$27=4</xm:f>
            <x14:dxf>
              <fill>
                <patternFill>
                  <bgColor theme="1"/>
                </patternFill>
              </fill>
            </x14:dxf>
          </x14:cfRule>
          <x14:cfRule type="expression" priority="119" id="{756C41F8-692A-41C4-A7BF-146B214D5EE9}">
            <xm:f>'SCIMP Plan'!$F$27=3</xm:f>
            <x14:dxf>
              <fill>
                <patternFill>
                  <bgColor rgb="FFC00000"/>
                </patternFill>
              </fill>
            </x14:dxf>
          </x14:cfRule>
          <x14:cfRule type="expression" priority="120" id="{4D590438-49CB-4ABA-B2D2-A604FB8B349B}">
            <xm:f>'SCIMP Plan'!$F$27=2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1" id="{DB375877-AC3D-4725-9C6F-C6FDD1E7CEFC}">
            <xm:f>'SCIMP Plan'!$F$27=1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F12</xm:sqref>
        </x14:conditionalFormatting>
        <x14:conditionalFormatting xmlns:xm="http://schemas.microsoft.com/office/excel/2006/main">
          <x14:cfRule type="expression" priority="553" id="{99C1A420-3814-40F7-81AD-7B9F48AD97D9}">
            <xm:f>'SCIMP Plan'!$F$63="W"</xm:f>
            <x14:dxf>
              <fill>
                <patternFill>
                  <bgColor rgb="FF7030A0"/>
                </patternFill>
              </fill>
            </x14:dxf>
          </x14:cfRule>
          <x14:cfRule type="expression" priority="1280" id="{48FA5882-4048-4569-9BD6-2A1FB437717C}">
            <xm:f>'SCIMP Plan'!$F$63="D"</xm:f>
            <x14:dxf>
              <fill>
                <patternFill>
                  <bgColor theme="4"/>
                </patternFill>
              </fill>
            </x14:dxf>
          </x14:cfRule>
          <x14:cfRule type="expression" priority="1281" id="{AB198480-3F3B-4732-9CE7-50CB32C07681}">
            <xm:f>'SCIMP Plan'!$F$63=4</xm:f>
            <x14:dxf>
              <fill>
                <patternFill>
                  <bgColor theme="1"/>
                </patternFill>
              </fill>
            </x14:dxf>
          </x14:cfRule>
          <x14:cfRule type="expression" priority="1282" id="{39B77748-0BC0-4B56-8B07-222E9C3D3836}">
            <xm:f>'SCIMP Plan'!$F$63=3</xm:f>
            <x14:dxf>
              <fill>
                <patternFill>
                  <bgColor rgb="FFC00000"/>
                </patternFill>
              </fill>
            </x14:dxf>
          </x14:cfRule>
          <x14:cfRule type="expression" priority="1283" id="{573FAC2C-4CBB-4AEA-9389-F49FDBE4BFBE}">
            <xm:f>'SCIMP Plan'!$F$63=2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84" id="{F362344D-3CAD-466F-A0DF-054815FE064C}">
            <xm:f>'SCIMP Plan'!$F$63=1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F14</xm:sqref>
        </x14:conditionalFormatting>
        <x14:conditionalFormatting xmlns:xm="http://schemas.microsoft.com/office/excel/2006/main">
          <x14:cfRule type="expression" priority="552" id="{03279413-21A4-47D2-8039-B38517583E7B}">
            <xm:f>'SCIMP Plan'!$F38="W"</xm:f>
            <x14:dxf>
              <fill>
                <patternFill>
                  <bgColor rgb="FF7030A0"/>
                </patternFill>
              </fill>
            </x14:dxf>
          </x14:cfRule>
          <x14:cfRule type="expression" priority="1270" id="{C527E32C-B7BE-472F-B978-5CE4D8B785C1}">
            <xm:f>'SCIMP Plan'!$F38="D"</xm:f>
            <x14:dxf>
              <fill>
                <patternFill>
                  <bgColor theme="4"/>
                </patternFill>
              </fill>
            </x14:dxf>
          </x14:cfRule>
          <x14:cfRule type="expression" priority="1271" id="{CEBCE1D3-4608-47E0-A2FE-229DF63F12C6}">
            <xm:f>'SCIMP Plan'!$F$38=4</xm:f>
            <x14:dxf>
              <fill>
                <patternFill>
                  <bgColor theme="1"/>
                </patternFill>
              </fill>
            </x14:dxf>
          </x14:cfRule>
          <x14:cfRule type="expression" priority="1272" id="{D5E90C41-7B9D-458D-80AC-65882E9732AC}">
            <xm:f>'SCIMP Plan'!$F$38=3</xm:f>
            <x14:dxf>
              <fill>
                <patternFill>
                  <bgColor rgb="FFC00000"/>
                </patternFill>
              </fill>
            </x14:dxf>
          </x14:cfRule>
          <x14:cfRule type="expression" priority="1273" id="{D7D32F66-4EDD-4D51-B8C5-B997BB7DCE1D}">
            <xm:f>'SCIMP Plan'!$F$38=2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74" id="{476D329D-E913-4FFE-B13D-C09B40FFA563}">
            <xm:f>'SCIMP Plan'!$F$38=1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F16</xm:sqref>
        </x14:conditionalFormatting>
        <x14:conditionalFormatting xmlns:xm="http://schemas.microsoft.com/office/excel/2006/main">
          <x14:cfRule type="expression" priority="387" id="{F9AFF3BE-CA92-488D-98CE-6B94236BA3E7}">
            <xm:f>'SCIMP Plan'!$F$32="W"</xm:f>
            <x14:dxf>
              <fill>
                <patternFill>
                  <bgColor rgb="FF7030A0"/>
                </patternFill>
              </fill>
            </x14:dxf>
          </x14:cfRule>
          <x14:cfRule type="expression" priority="388" id="{CB65140D-6E52-48DF-8D83-FDCDB866DD0C}">
            <xm:f>'SCIMP Plan'!$F$32="D"</xm:f>
            <x14:dxf>
              <fill>
                <patternFill>
                  <bgColor theme="4"/>
                </patternFill>
              </fill>
            </x14:dxf>
          </x14:cfRule>
          <x14:cfRule type="expression" priority="389" id="{B48F81EF-B66F-4AB3-BCA3-14367C8B6FDA}">
            <xm:f>'SCIMP Plan'!$F$32=4</xm:f>
            <x14:dxf>
              <fill>
                <patternFill>
                  <bgColor theme="1"/>
                </patternFill>
              </fill>
            </x14:dxf>
          </x14:cfRule>
          <x14:cfRule type="expression" priority="390" id="{E43230EF-F4FF-450F-9DB3-433CCDC84532}">
            <xm:f>'SCIMP Plan'!$F$32=3</xm:f>
            <x14:dxf>
              <fill>
                <patternFill>
                  <bgColor rgb="FFC00000"/>
                </patternFill>
              </fill>
            </x14:dxf>
          </x14:cfRule>
          <x14:cfRule type="expression" priority="391" id="{B66916C9-F21F-49EC-B38A-EABB2284B001}">
            <xm:f>'SCIMP Plan'!$F$32=2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92" id="{869F57A0-1EC5-4689-AE5E-683F642B8160}">
            <xm:f>'SCIMP Plan'!$F$32=1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F18</xm:sqref>
        </x14:conditionalFormatting>
        <x14:conditionalFormatting xmlns:xm="http://schemas.microsoft.com/office/excel/2006/main">
          <x14:cfRule type="expression" priority="544" id="{40C9D819-161B-4A01-BBDA-C387D15E994B}">
            <xm:f>'SCIMP Plan'!$F$218="W"</xm:f>
            <x14:dxf>
              <fill>
                <patternFill>
                  <bgColor rgb="FF7030A0"/>
                </patternFill>
              </fill>
            </x14:dxf>
          </x14:cfRule>
          <x14:cfRule type="expression" priority="1535" id="{F9690FDA-CB9E-4AF8-9B4C-6A109328BB59}">
            <xm:f>'SCIMP Plan'!$F$218="D"</xm:f>
            <x14:dxf>
              <fill>
                <patternFill>
                  <bgColor theme="4"/>
                </patternFill>
              </fill>
            </x14:dxf>
          </x14:cfRule>
          <x14:cfRule type="expression" priority="1536" id="{B35D396C-BAF0-4FE9-87E2-A4F3DA709136}">
            <xm:f>'SCIMP Plan'!$F$218=4</xm:f>
            <x14:dxf>
              <fill>
                <patternFill>
                  <bgColor theme="1"/>
                </patternFill>
              </fill>
            </x14:dxf>
          </x14:cfRule>
          <x14:cfRule type="expression" priority="1537" id="{3B358BC7-D5EA-4461-A593-56745B652100}">
            <xm:f>'SCIMP Plan'!$F$218=3</xm:f>
            <x14:dxf>
              <fill>
                <patternFill>
                  <bgColor rgb="FFC00000"/>
                </patternFill>
              </fill>
            </x14:dxf>
          </x14:cfRule>
          <x14:cfRule type="expression" priority="1538" id="{953D5339-935B-4907-AE9C-6EC96E1DF548}">
            <xm:f>'SCIMP Plan'!$F$218=2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39" id="{865A4611-2753-4051-8657-C990C58B5C1A}">
            <xm:f>'SCIMP Plan'!$F$218=1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F31</xm:sqref>
        </x14:conditionalFormatting>
        <x14:conditionalFormatting xmlns:xm="http://schemas.microsoft.com/office/excel/2006/main">
          <x14:cfRule type="expression" priority="2094" id="{32B594F3-7686-47D1-A2BD-E779DF06E84F}">
            <xm:f>'SCIMP Plan'!$F$19="W"</xm:f>
            <x14:dxf>
              <fill>
                <patternFill>
                  <bgColor rgb="FF7030A0"/>
                </patternFill>
              </fill>
            </x14:dxf>
          </x14:cfRule>
          <x14:cfRule type="expression" priority="2095" id="{166A10ED-9937-4EDE-8FC6-EDCDA909B0E4}">
            <xm:f>'SCIMP Plan'!$F$19="D"</xm:f>
            <x14:dxf>
              <fill>
                <patternFill>
                  <bgColor theme="4"/>
                </patternFill>
              </fill>
            </x14:dxf>
          </x14:cfRule>
          <x14:cfRule type="expression" priority="2096" id="{6AC06571-D7A5-473B-826D-523739D0F711}">
            <xm:f>'SCIMP Plan'!$F$19=4</xm:f>
            <x14:dxf>
              <fill>
                <patternFill>
                  <bgColor theme="1"/>
                </patternFill>
              </fill>
            </x14:dxf>
          </x14:cfRule>
          <x14:cfRule type="expression" priority="2097" id="{8CFB9D2E-333F-4453-967F-BC70C650F5C2}">
            <xm:f>'SCIMP Plan'!$F$19=3</xm:f>
            <x14:dxf>
              <fill>
                <patternFill>
                  <bgColor rgb="FFC00000"/>
                </patternFill>
              </fill>
            </x14:dxf>
          </x14:cfRule>
          <x14:cfRule type="expression" priority="2098" id="{B287FDB3-4271-4398-898B-D1EE38BD6CD8}">
            <xm:f>'SCIMP Plan'!$F$19=2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099" id="{6AECCBFD-8607-4FD1-9ADC-6622C8829283}">
            <xm:f>'SCIMP Plan'!$F$19=1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F33</xm:sqref>
        </x14:conditionalFormatting>
        <x14:conditionalFormatting xmlns:xm="http://schemas.microsoft.com/office/excel/2006/main">
          <x14:cfRule type="expression" priority="540" id="{A11B2517-C72A-4E8C-97F3-D913107C6A55}">
            <xm:f>'SCIMP Plan'!$F$48="W"</xm:f>
            <x14:dxf>
              <fill>
                <patternFill>
                  <bgColor rgb="FF7030A0"/>
                </patternFill>
              </fill>
            </x14:dxf>
          </x14:cfRule>
          <x14:cfRule type="expression" priority="1240" id="{A52D078F-6195-42E5-8B94-7F6D8B205031}">
            <xm:f>'SCIMP Plan'!$F$48="D"</xm:f>
            <x14:dxf>
              <fill>
                <patternFill>
                  <bgColor theme="4"/>
                </patternFill>
              </fill>
            </x14:dxf>
          </x14:cfRule>
          <x14:cfRule type="expression" priority="1241" id="{B6CA8A36-0E21-421D-A89D-0BEC064775D0}">
            <xm:f>'SCIMP Plan'!$F$48=4</xm:f>
            <x14:dxf>
              <fill>
                <patternFill>
                  <bgColor theme="1"/>
                </patternFill>
              </fill>
            </x14:dxf>
          </x14:cfRule>
          <x14:cfRule type="expression" priority="1242" id="{43BE2343-CC09-4732-B216-69A1522309CB}">
            <xm:f>'SCIMP Plan'!$F$48=3</xm:f>
            <x14:dxf>
              <fill>
                <patternFill>
                  <bgColor rgb="FFC00000"/>
                </patternFill>
              </fill>
            </x14:dxf>
          </x14:cfRule>
          <x14:cfRule type="expression" priority="1243" id="{9AFE954E-489E-4ADC-B464-8A8922F9FA33}">
            <xm:f>'SCIMP Plan'!$F$48=2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44" id="{08A021E5-0E23-4198-9BBD-66558BA3DDAF}">
            <xm:f>'SCIMP Plan'!$F$48=1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F35</xm:sqref>
        </x14:conditionalFormatting>
        <x14:conditionalFormatting xmlns:xm="http://schemas.microsoft.com/office/excel/2006/main">
          <x14:cfRule type="expression" priority="538" id="{EA9F5705-4943-45E6-B4A4-3FDE99704D29}">
            <xm:f>'SCIMP Plan'!$F$57="W"</xm:f>
            <x14:dxf>
              <fill>
                <patternFill>
                  <bgColor rgb="FF7030A0"/>
                </patternFill>
              </fill>
            </x14:dxf>
          </x14:cfRule>
          <x14:cfRule type="expression" priority="1215" id="{17AEABA2-DCC0-4B23-B9ED-F598ED186DBB}">
            <xm:f>'SCIMP Plan'!$F$57="D"</xm:f>
            <x14:dxf>
              <fill>
                <patternFill>
                  <bgColor theme="4"/>
                </patternFill>
              </fill>
            </x14:dxf>
          </x14:cfRule>
          <x14:cfRule type="expression" priority="1216" id="{890E50EC-D88F-490D-A6A3-19F8AB5443B0}">
            <xm:f>'SCIMP Plan'!$F$57=4</xm:f>
            <x14:dxf>
              <fill>
                <patternFill>
                  <bgColor theme="1"/>
                </patternFill>
              </fill>
            </x14:dxf>
          </x14:cfRule>
          <x14:cfRule type="expression" priority="1217" id="{64413CE7-873A-4E1D-948D-02030E7E20CB}">
            <xm:f>'SCIMP Plan'!$F$57=3</xm:f>
            <x14:dxf>
              <fill>
                <patternFill>
                  <bgColor rgb="FFC00000"/>
                </patternFill>
              </fill>
            </x14:dxf>
          </x14:cfRule>
          <x14:cfRule type="expression" priority="1218" id="{AB211A64-225A-49F5-9FEC-F6D84F23C42F}">
            <xm:f>'SCIMP Plan'!$F$57=2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19" id="{3A505B41-45CA-4B0B-8480-793AF9F8AB26}">
            <xm:f>'SCIMP Plan'!$F$57=1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F37</xm:sqref>
        </x14:conditionalFormatting>
        <x14:conditionalFormatting xmlns:xm="http://schemas.microsoft.com/office/excel/2006/main">
          <x14:cfRule type="expression" priority="536" id="{724B1868-FDD3-49CD-8656-73644999D5C0}">
            <xm:f>'SCIMP Plan'!$F$62="W"</xm:f>
            <x14:dxf>
              <fill>
                <patternFill>
                  <bgColor rgb="FF7030A0"/>
                </patternFill>
              </fill>
            </x14:dxf>
          </x14:cfRule>
          <x14:cfRule type="expression" priority="1205" id="{830044EE-B861-42DA-867E-0A47E7639FF0}">
            <xm:f>'SCIMP Plan'!$F$62="D"</xm:f>
            <x14:dxf>
              <fill>
                <patternFill>
                  <bgColor theme="4"/>
                </patternFill>
              </fill>
            </x14:dxf>
          </x14:cfRule>
          <x14:cfRule type="expression" priority="1206" id="{34FBD5AE-B59A-43BA-85CD-3DC226E97697}">
            <xm:f>'SCIMP Plan'!$F$62=4</xm:f>
            <x14:dxf>
              <fill>
                <patternFill>
                  <bgColor theme="1"/>
                </patternFill>
              </fill>
            </x14:dxf>
          </x14:cfRule>
          <x14:cfRule type="expression" priority="1207" id="{03A0576D-886F-48F5-A7FF-AB8D5A94A72E}">
            <xm:f>'SCIMP Plan'!$F$62=3</xm:f>
            <x14:dxf>
              <fill>
                <patternFill>
                  <bgColor rgb="FFC00000"/>
                </patternFill>
              </fill>
            </x14:dxf>
          </x14:cfRule>
          <x14:cfRule type="expression" priority="1208" id="{FAF5B2FD-0016-40BD-9263-12602F6562F1}">
            <xm:f>'SCIMP Plan'!$F$62=2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09" id="{C7A7C0CA-A462-4C61-9946-CD12F71359E5}">
            <xm:f>'SCIMP Plan'!$F$62=1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F39</xm:sqref>
        </x14:conditionalFormatting>
        <x14:conditionalFormatting xmlns:xm="http://schemas.microsoft.com/office/excel/2006/main">
          <x14:cfRule type="expression" priority="534" id="{6F7AC2E6-6A98-4D3E-81F8-B4F3F9A8B634}">
            <xm:f>'SCIMP Plan'!$F$26="W"</xm:f>
            <x14:dxf>
              <fill>
                <patternFill>
                  <bgColor rgb="FF7030A0"/>
                </patternFill>
              </fill>
            </x14:dxf>
          </x14:cfRule>
          <x14:cfRule type="expression" priority="1200" id="{9239A1AE-E9CC-4BA6-8BBE-3DA830CA358F}">
            <xm:f>'SCIMP Plan'!$F$26="D"</xm:f>
            <x14:dxf>
              <fill>
                <patternFill>
                  <bgColor theme="4"/>
                </patternFill>
              </fill>
            </x14:dxf>
          </x14:cfRule>
          <x14:cfRule type="expression" priority="1201" id="{A043C0FC-1331-4F9D-BF73-CA3AED818499}">
            <xm:f>'SCIMP Plan'!$F$26=4</xm:f>
            <x14:dxf>
              <fill>
                <patternFill>
                  <bgColor theme="1"/>
                </patternFill>
              </fill>
            </x14:dxf>
          </x14:cfRule>
          <x14:cfRule type="expression" priority="1202" id="{FA42A9DF-645C-4D9B-BAB7-FB480A842FF6}">
            <xm:f>'SCIMP Plan'!$F$26=3</xm:f>
            <x14:dxf>
              <fill>
                <patternFill>
                  <bgColor rgb="FFC00000"/>
                </patternFill>
              </fill>
            </x14:dxf>
          </x14:cfRule>
          <x14:cfRule type="expression" priority="1203" id="{CC0C8F28-C714-4B84-A5D7-AABEB34C835F}">
            <xm:f>'SCIMP Plan'!$F$26=2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04" id="{7BD69CBA-0BB4-4834-9EA4-B14CC3FD702D}">
            <xm:f>'SCIMP Plan'!$F$26=1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F41</xm:sqref>
        </x14:conditionalFormatting>
        <x14:conditionalFormatting xmlns:xm="http://schemas.microsoft.com/office/excel/2006/main">
          <x14:cfRule type="expression" priority="394" id="{B51BCBA3-A813-44B9-981E-47DD0D42DA04}">
            <xm:f>'SCIMP Plan'!$F$31="W"</xm:f>
            <x14:dxf>
              <fill>
                <patternFill>
                  <bgColor rgb="FF7030A0"/>
                </patternFill>
              </fill>
            </x14:dxf>
          </x14:cfRule>
          <x14:cfRule type="expression" priority="400" id="{7B2A7773-951D-4158-940D-6D77C902BF60}">
            <xm:f>'SCIMP Plan'!$F$31="D"</xm:f>
            <x14:dxf>
              <fill>
                <patternFill>
                  <bgColor theme="4"/>
                </patternFill>
              </fill>
            </x14:dxf>
          </x14:cfRule>
          <x14:cfRule type="expression" priority="401" id="{CB1A356D-61C1-4CDB-BF55-86CBCC47C5CE}">
            <xm:f>'SCIMP Plan'!$F$31=4</xm:f>
            <x14:dxf>
              <fill>
                <patternFill>
                  <bgColor theme="1"/>
                </patternFill>
              </fill>
            </x14:dxf>
          </x14:cfRule>
          <x14:cfRule type="expression" priority="402" id="{509AE32A-35C1-4697-A781-9D6E45D576FC}">
            <xm:f>'SCIMP Plan'!$F$31=3</xm:f>
            <x14:dxf>
              <fill>
                <patternFill>
                  <bgColor rgb="FFC00000"/>
                </patternFill>
              </fill>
            </x14:dxf>
          </x14:cfRule>
          <x14:cfRule type="expression" priority="403" id="{60FAD743-9838-4782-A73D-07500D10C4E3}">
            <xm:f>'SCIMP Plan'!$F$31=2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04" id="{CD2942A2-D43F-44EF-9D81-EDB8C5DD2375}">
            <xm:f>'SCIMP Plan'!$F$31=1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F43</xm:sqref>
        </x14:conditionalFormatting>
        <x14:conditionalFormatting xmlns:xm="http://schemas.microsoft.com/office/excel/2006/main">
          <x14:cfRule type="expression" priority="519" id="{BB75DD5A-075E-4746-9BEA-5127E9EFB220}">
            <xm:f>'SCIMP Plan'!$F$30="W"</xm:f>
            <x14:dxf>
              <fill>
                <patternFill>
                  <bgColor rgb="FF7030A0"/>
                </patternFill>
              </fill>
            </x14:dxf>
          </x14:cfRule>
          <x14:cfRule type="expression" priority="1325" id="{896DEEBD-DE70-43CB-B4FB-C2148E98677C}">
            <xm:f>'SCIMP Plan'!$F$30="D"</xm:f>
            <x14:dxf>
              <fill>
                <patternFill>
                  <bgColor theme="4"/>
                </patternFill>
              </fill>
            </x14:dxf>
          </x14:cfRule>
          <x14:cfRule type="expression" priority="1326" id="{723B4D67-B04C-4F61-BBDB-9FDC20F833BF}">
            <xm:f>'SCIMP Plan'!$F$30=4</xm:f>
            <x14:dxf>
              <fill>
                <patternFill>
                  <bgColor theme="1"/>
                </patternFill>
              </fill>
            </x14:dxf>
          </x14:cfRule>
          <x14:cfRule type="expression" priority="1327" id="{73449660-5F97-485B-8F0C-26576141622F}">
            <xm:f>'SCIMP Plan'!$F$30=3</xm:f>
            <x14:dxf>
              <fill>
                <patternFill>
                  <bgColor rgb="FFC00000"/>
                </patternFill>
              </fill>
            </x14:dxf>
          </x14:cfRule>
          <x14:cfRule type="expression" priority="1328" id="{6718B44D-593C-4BE7-8965-8F13A025AA7A}">
            <xm:f>'SCIMP Plan'!$F$30=2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29" id="{DFB3E40C-C9A1-44DA-B371-2D9BD82E0A59}">
            <xm:f>'SCIMP Plan'!$F$30=1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F48</xm:sqref>
        </x14:conditionalFormatting>
        <x14:conditionalFormatting xmlns:xm="http://schemas.microsoft.com/office/excel/2006/main">
          <x14:cfRule type="expression" priority="517" id="{993E8D72-6F11-4917-8701-103D0CC96B6C}">
            <xm:f>'SCIMP Plan'!$F$16="W"</xm:f>
            <x14:dxf>
              <fill>
                <patternFill>
                  <bgColor rgb="FF7030A0"/>
                </patternFill>
              </fill>
            </x14:dxf>
          </x14:cfRule>
          <x14:cfRule type="expression" priority="1190" id="{1AF2AB6C-669F-4E8C-8F08-7A959F2C6A78}">
            <xm:f>'SCIMP Plan'!$F$16="D"</xm:f>
            <x14:dxf>
              <fill>
                <patternFill>
                  <bgColor theme="4"/>
                </patternFill>
              </fill>
            </x14:dxf>
          </x14:cfRule>
          <x14:cfRule type="expression" priority="1191" id="{7EAA514B-CAD3-4B0D-BC59-A0A196865435}">
            <xm:f>'SCIMP Plan'!$F$16=4</xm:f>
            <x14:dxf>
              <fill>
                <patternFill>
                  <bgColor theme="1"/>
                </patternFill>
              </fill>
            </x14:dxf>
          </x14:cfRule>
          <x14:cfRule type="expression" priority="1192" id="{E4A7E53A-FC1A-47E8-A55F-8205B7A4E0AE}">
            <xm:f>'SCIMP Plan'!$F$16=3</xm:f>
            <x14:dxf>
              <fill>
                <patternFill>
                  <bgColor rgb="FFC00000"/>
                </patternFill>
              </fill>
            </x14:dxf>
          </x14:cfRule>
          <x14:cfRule type="expression" priority="1193" id="{D1D332A1-88DF-427A-B372-5A6530DB782C}">
            <xm:f>'SCIMP Plan'!$F$16=2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94" id="{57227B3F-50CA-42DA-AEC2-4FC43AAC1071}">
            <xm:f>'SCIMP Plan'!$F$16=1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F50</xm:sqref>
        </x14:conditionalFormatting>
        <x14:conditionalFormatting xmlns:xm="http://schemas.microsoft.com/office/excel/2006/main">
          <x14:cfRule type="expression" priority="515" id="{5A23FD00-FE7F-4F65-8F18-A15BEABD4BF9}">
            <xm:f>'SCIMP Plan'!$F$14="W"</xm:f>
            <x14:dxf>
              <fill>
                <patternFill>
                  <bgColor rgb="FF7030A0"/>
                </patternFill>
              </fill>
            </x14:dxf>
          </x14:cfRule>
          <x14:cfRule type="expression" priority="1180" id="{B4D8F241-D44F-4627-A781-12B0C6D86282}">
            <xm:f>'SCIMP Plan'!$F$14="D"</xm:f>
            <x14:dxf>
              <fill>
                <patternFill>
                  <bgColor theme="4"/>
                </patternFill>
              </fill>
            </x14:dxf>
          </x14:cfRule>
          <x14:cfRule type="expression" priority="1181" id="{B9E39AA7-EC6F-4E1A-A1E6-CBD677AC5C43}">
            <xm:f>'SCIMP Plan'!$F$14=4</xm:f>
            <x14:dxf>
              <fill>
                <patternFill>
                  <bgColor theme="1"/>
                </patternFill>
              </fill>
            </x14:dxf>
          </x14:cfRule>
          <x14:cfRule type="expression" priority="1182" id="{6E5EB311-5461-43F9-8B48-B9EA3E5D19EC}">
            <xm:f>'SCIMP Plan'!$F$14=3</xm:f>
            <x14:dxf>
              <fill>
                <patternFill>
                  <bgColor rgb="FFC00000"/>
                </patternFill>
              </fill>
            </x14:dxf>
          </x14:cfRule>
          <x14:cfRule type="expression" priority="1183" id="{CBA5236F-57D1-479E-8489-3626FA042AF6}">
            <xm:f>'SCIMP Plan'!$F$14=2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84" id="{90D31DEB-E428-4208-892F-C9D9BF2773EC}">
            <xm:f>'SCIMP Plan'!$F$14=1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F52</xm:sqref>
        </x14:conditionalFormatting>
        <x14:conditionalFormatting xmlns:xm="http://schemas.microsoft.com/office/excel/2006/main">
          <x14:cfRule type="expression" priority="513" id="{80A3634C-8EC2-46A6-BE77-E07638826CF4}">
            <xm:f>'SCIMP Plan'!$F$25="W"</xm:f>
            <x14:dxf>
              <fill>
                <patternFill>
                  <bgColor rgb="FF7030A0"/>
                </patternFill>
              </fill>
            </x14:dxf>
          </x14:cfRule>
          <x14:cfRule type="expression" priority="1170" id="{C4974349-F915-4F5D-B233-2CE1757B0D86}">
            <xm:f>'SCIMP Plan'!$F$25="D"</xm:f>
            <x14:dxf>
              <fill>
                <patternFill>
                  <bgColor theme="4"/>
                </patternFill>
              </fill>
            </x14:dxf>
          </x14:cfRule>
          <x14:cfRule type="expression" priority="1171" id="{B0B952A8-42FF-442B-9D9B-EDAEE1342F04}">
            <xm:f>'SCIMP Plan'!$F$25=4</xm:f>
            <x14:dxf>
              <fill>
                <patternFill>
                  <bgColor theme="1"/>
                </patternFill>
              </fill>
            </x14:dxf>
          </x14:cfRule>
          <x14:cfRule type="expression" priority="1172" id="{B57C1D24-76D2-4E77-BBA2-7F8967C8EFE4}">
            <xm:f>'SCIMP Plan'!$F$25=3</xm:f>
            <x14:dxf>
              <fill>
                <patternFill>
                  <bgColor rgb="FFC00000"/>
                </patternFill>
              </fill>
            </x14:dxf>
          </x14:cfRule>
          <x14:cfRule type="expression" priority="1173" id="{7DBB7D2B-FDC5-42FB-A026-81C3F8ECB99B}">
            <xm:f>'SCIMP Plan'!$F$25=2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74" id="{9937DF38-9EF7-404B-9DC1-6D962C8013E0}">
            <xm:f>'SCIMP Plan'!$F25=1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F54 F56</xm:sqref>
        </x14:conditionalFormatting>
        <x14:conditionalFormatting xmlns:xm="http://schemas.microsoft.com/office/excel/2006/main">
          <x14:cfRule type="expression" priority="509" id="{385638A3-E211-47E2-B1F9-C81E9D11EF20}">
            <xm:f>'SCIMP Plan'!$F$3="W"</xm:f>
            <x14:dxf>
              <fill>
                <patternFill>
                  <bgColor rgb="FF7030A0"/>
                </patternFill>
              </fill>
            </x14:dxf>
          </x14:cfRule>
          <x14:cfRule type="expression" priority="1150" id="{E0E5462C-4429-475D-AFC5-0431903D39EF}">
            <xm:f>'SCIMP Plan'!$F$3="D"</xm:f>
            <x14:dxf>
              <fill>
                <patternFill>
                  <bgColor theme="4"/>
                </patternFill>
              </fill>
            </x14:dxf>
          </x14:cfRule>
          <x14:cfRule type="expression" priority="1151" id="{855AED6B-3217-43E8-B7EE-B1106A5A6DB7}">
            <xm:f>'SCIMP Plan'!$F$3=4</xm:f>
            <x14:dxf>
              <fill>
                <patternFill>
                  <bgColor theme="1"/>
                </patternFill>
              </fill>
            </x14:dxf>
          </x14:cfRule>
          <x14:cfRule type="expression" priority="1152" id="{553FA18E-B8F7-4F17-BC00-FBD2CC8783A2}">
            <xm:f>'SCIMP Plan'!$F$3=3</xm:f>
            <x14:dxf>
              <fill>
                <patternFill>
                  <bgColor rgb="FFC00000"/>
                </patternFill>
              </fill>
            </x14:dxf>
          </x14:cfRule>
          <x14:cfRule type="expression" priority="1153" id="{9976CD9A-8DE7-4C8B-A236-03BD6D5F0B0D}">
            <xm:f>'SCIMP Plan'!$F$3=2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54" id="{9D186142-436B-4859-8FD9-83AC7A8084A0}">
            <xm:f>'SCIMP Plan'!$F$3=1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F58</xm:sqref>
        </x14:conditionalFormatting>
        <x14:conditionalFormatting xmlns:xm="http://schemas.microsoft.com/office/excel/2006/main">
          <x14:cfRule type="expression" priority="551" id="{F4125C5B-2349-4D9C-B22B-8AF6117D0B13}">
            <xm:f>'SCIMP Plan'!$F$64="W"</xm:f>
            <x14:dxf>
              <fill>
                <patternFill>
                  <bgColor rgb="FF7030A0"/>
                </patternFill>
              </fill>
            </x14:dxf>
          </x14:cfRule>
          <x14:cfRule type="expression" priority="1310" id="{48FA5882-4048-4569-9BD6-2A1FB437717C}">
            <xm:f>'SCIMP Plan'!$F$64="D"</xm:f>
            <x14:dxf>
              <fill>
                <patternFill>
                  <bgColor theme="4"/>
                </patternFill>
              </fill>
            </x14:dxf>
          </x14:cfRule>
          <x14:cfRule type="expression" priority="1311" id="{AB198480-3F3B-4732-9CE7-50CB32C07681}">
            <xm:f>'SCIMP Plan'!$F$64=4</xm:f>
            <x14:dxf>
              <fill>
                <patternFill>
                  <bgColor theme="1"/>
                </patternFill>
              </fill>
            </x14:dxf>
          </x14:cfRule>
          <x14:cfRule type="expression" priority="1312" id="{39B77748-0BC0-4B56-8B07-222E9C3D3836}">
            <xm:f>'SCIMP Plan'!$F$64=3</xm:f>
            <x14:dxf>
              <fill>
                <patternFill>
                  <bgColor rgb="FFC00000"/>
                </patternFill>
              </fill>
            </x14:dxf>
          </x14:cfRule>
          <x14:cfRule type="expression" priority="1313" id="{573FAC2C-4CBB-4AEA-9389-F49FDBE4BFBE}">
            <xm:f>'SCIMP Plan'!$F$64=2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14" id="{F362344D-3CAD-466F-A0DF-054815FE064C}">
            <xm:f>'SCIMP Plan'!$F$64=1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I12</xm:sqref>
        </x14:conditionalFormatting>
        <x14:conditionalFormatting xmlns:xm="http://schemas.microsoft.com/office/excel/2006/main">
          <x14:cfRule type="expression" priority="550" id="{C586E568-2706-4AE0-BE04-AD57C3612D86}">
            <xm:f>'SCIMP Plan'!$F$28="W"</xm:f>
            <x14:dxf>
              <fill>
                <patternFill>
                  <bgColor rgb="FF7030A0"/>
                </patternFill>
              </fill>
            </x14:dxf>
          </x14:cfRule>
          <x14:cfRule type="expression" priority="1275" id="{7B0B6A19-BE6D-4FB0-9D8B-544509CB3C51}">
            <xm:f>'SCIMP Plan'!$F$28="D"</xm:f>
            <x14:dxf>
              <fill>
                <patternFill>
                  <bgColor theme="4"/>
                </patternFill>
              </fill>
            </x14:dxf>
          </x14:cfRule>
          <x14:cfRule type="expression" priority="1276" id="{FE0B002C-267F-4E1B-8804-671B29809E39}">
            <xm:f>'SCIMP Plan'!$F$28=4</xm:f>
            <x14:dxf>
              <fill>
                <patternFill>
                  <bgColor theme="1"/>
                </patternFill>
              </fill>
            </x14:dxf>
          </x14:cfRule>
          <x14:cfRule type="expression" priority="1277" id="{40CC099F-74EF-4027-87B4-95158F8F14C6}">
            <xm:f>'SCIMP Plan'!$F$28=3</xm:f>
            <x14:dxf>
              <fill>
                <patternFill>
                  <bgColor rgb="FFC00000"/>
                </patternFill>
              </fill>
            </x14:dxf>
          </x14:cfRule>
          <x14:cfRule type="expression" priority="1278" id="{B63D7C43-B116-4F2D-AC6A-0CA734141B66}">
            <xm:f>'SCIMP Plan'!$F$28=2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79" id="{4BEC19E7-E08B-42A4-AC95-C45CAED9761D}">
            <xm:f>'SCIMP Plan'!$F$28=1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I14</xm:sqref>
        </x14:conditionalFormatting>
        <x14:conditionalFormatting xmlns:xm="http://schemas.microsoft.com/office/excel/2006/main">
          <x14:cfRule type="expression" priority="549" id="{82C9E180-7234-46C3-9B6E-EA5073B1A84B}">
            <xm:f>'SCIMP Plan'!$F39="W"</xm:f>
            <x14:dxf>
              <fill>
                <patternFill>
                  <bgColor rgb="FF7030A0"/>
                </patternFill>
              </fill>
            </x14:dxf>
          </x14:cfRule>
          <x14:cfRule type="expression" priority="1265" id="{749C65F2-4D37-4DF5-905B-F41B7B79ABDE}">
            <xm:f>'SCIMP Plan'!$F39="D"</xm:f>
            <x14:dxf>
              <fill>
                <patternFill>
                  <bgColor theme="4"/>
                </patternFill>
              </fill>
            </x14:dxf>
          </x14:cfRule>
          <x14:cfRule type="expression" priority="1266" id="{06D119A2-2D33-4C59-84E9-6ED019A036FB}">
            <xm:f>'SCIMP Plan'!$F$39=4</xm:f>
            <x14:dxf>
              <fill>
                <patternFill>
                  <bgColor theme="1"/>
                </patternFill>
              </fill>
            </x14:dxf>
          </x14:cfRule>
          <x14:cfRule type="expression" priority="1267" id="{A79AE24F-E0E7-46C4-9F6D-5F20797D3D83}">
            <xm:f>'SCIMP Plan'!$F$39=3</xm:f>
            <x14:dxf>
              <fill>
                <patternFill>
                  <bgColor rgb="FFC00000"/>
                </patternFill>
              </fill>
            </x14:dxf>
          </x14:cfRule>
          <x14:cfRule type="expression" priority="1268" id="{DFC33D1F-F2DF-4245-A65E-CC471B1BE040}">
            <xm:f>'SCIMP Plan'!$F$39=2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69" id="{142C4F7A-994C-40A2-87A0-3AD455849C96}">
            <xm:f>'SCIMP Plan'!$F$39=1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I16</xm:sqref>
        </x14:conditionalFormatting>
        <x14:conditionalFormatting xmlns:xm="http://schemas.microsoft.com/office/excel/2006/main">
          <x14:cfRule type="expression" priority="332" id="{8286E84F-10CB-4B00-BD97-E329D36DDE5B}">
            <xm:f>'SCIMP Plan'!$F$41="W"</xm:f>
            <x14:dxf>
              <fill>
                <patternFill>
                  <bgColor rgb="FF7030A0"/>
                </patternFill>
              </fill>
            </x14:dxf>
          </x14:cfRule>
          <x14:cfRule type="expression" priority="333" id="{F7892068-5C07-4848-9B40-AEB464C9D5A1}">
            <xm:f>'SCIMP Plan'!$F$41="D"</xm:f>
            <x14:dxf>
              <fill>
                <patternFill>
                  <bgColor theme="4"/>
                </patternFill>
              </fill>
            </x14:dxf>
          </x14:cfRule>
          <x14:cfRule type="expression" priority="334" id="{9E9DCADF-BB20-4AFD-BFC6-9FE59BBBA192}">
            <xm:f>'SCIMP Plan'!$F$41=4</xm:f>
            <x14:dxf>
              <fill>
                <patternFill>
                  <bgColor theme="1"/>
                </patternFill>
              </fill>
            </x14:dxf>
          </x14:cfRule>
          <x14:cfRule type="expression" priority="335" id="{B42845E5-641C-470C-96D0-5BDA4CA4C61E}">
            <xm:f>'SCIMP Plan'!$F$41=3</xm:f>
            <x14:dxf>
              <fill>
                <patternFill>
                  <bgColor rgb="FFC00000"/>
                </patternFill>
              </fill>
            </x14:dxf>
          </x14:cfRule>
          <x14:cfRule type="expression" priority="336" id="{F09FF4A0-6B0A-4D67-8EC6-9CAE736B8552}">
            <xm:f>'SCIMP Plan'!$F$41=2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37" id="{67D85A1F-DEAA-458C-967D-EF20720B9673}">
            <xm:f>'SCIMP Plan'!$F$41=1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I18</xm:sqref>
        </x14:conditionalFormatting>
        <x14:conditionalFormatting xmlns:xm="http://schemas.microsoft.com/office/excel/2006/main">
          <x14:cfRule type="expression" priority="543" id="{7E44BADF-8157-4BC2-9063-7EF3214A5B43}">
            <xm:f>'SCIMP Plan'!$F$37="W"</xm:f>
            <x14:dxf>
              <fill>
                <patternFill>
                  <bgColor rgb="FF7030A0"/>
                </patternFill>
              </fill>
            </x14:dxf>
          </x14:cfRule>
          <x14:cfRule type="expression" priority="1255" id="{CF673110-3C7B-44C5-931D-1631B03DD35A}">
            <xm:f>'SCIMP Plan'!$F$37="D"</xm:f>
            <x14:dxf>
              <fill>
                <patternFill>
                  <bgColor theme="4"/>
                </patternFill>
              </fill>
            </x14:dxf>
          </x14:cfRule>
          <x14:cfRule type="expression" priority="1256" id="{66B70C85-A174-4B94-A721-C2AF24841106}">
            <xm:f>'SCIMP Plan'!$F$37=4</xm:f>
            <x14:dxf>
              <fill>
                <patternFill>
                  <bgColor theme="1"/>
                </patternFill>
              </fill>
            </x14:dxf>
          </x14:cfRule>
          <x14:cfRule type="expression" priority="1257" id="{7BF229B2-9317-4648-8FF9-29822D7415EC}">
            <xm:f>'SCIMP Plan'!$F$37=3</xm:f>
            <x14:dxf>
              <fill>
                <patternFill>
                  <bgColor rgb="FFC00000"/>
                </patternFill>
              </fill>
            </x14:dxf>
          </x14:cfRule>
          <x14:cfRule type="expression" priority="1258" id="{E03F0DE4-F58B-49D7-AB1C-EF76B30E786B}">
            <xm:f>'SCIMP Plan'!$F$37=2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59" id="{A51CBFBE-FE77-495F-992E-C77142BA5FDC}">
            <xm:f>'SCIMP Plan'!$F$37=1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I31</xm:sqref>
        </x14:conditionalFormatting>
        <x14:conditionalFormatting xmlns:xm="http://schemas.microsoft.com/office/excel/2006/main">
          <x14:cfRule type="expression" priority="541" id="{D945BD47-D993-4D49-81D3-E38FED3D8DBC}">
            <xm:f>'SCIMP Plan'!$F$46="W"</xm:f>
            <x14:dxf>
              <fill>
                <patternFill>
                  <bgColor rgb="FF7030A0"/>
                </patternFill>
              </fill>
            </x14:dxf>
          </x14:cfRule>
          <x14:cfRule type="expression" priority="1245" id="{081DD4B2-F6D4-46D8-9629-86D70003EF5F}">
            <xm:f>'SCIMP Plan'!$F$46="D"</xm:f>
            <x14:dxf>
              <fill>
                <patternFill>
                  <bgColor theme="4"/>
                </patternFill>
              </fill>
            </x14:dxf>
          </x14:cfRule>
          <x14:cfRule type="expression" priority="1246" id="{D201AE46-8C64-4D85-A0A9-866713434712}">
            <xm:f>'SCIMP Plan'!$F$46=4</xm:f>
            <x14:dxf>
              <fill>
                <patternFill>
                  <bgColor theme="1"/>
                </patternFill>
              </fill>
            </x14:dxf>
          </x14:cfRule>
          <x14:cfRule type="expression" priority="1247" id="{33F55F51-67DE-4BEA-9366-836530815D5B}">
            <xm:f>'SCIMP Plan'!$F$46=3</xm:f>
            <x14:dxf>
              <fill>
                <patternFill>
                  <bgColor rgb="FFC00000"/>
                </patternFill>
              </fill>
            </x14:dxf>
          </x14:cfRule>
          <x14:cfRule type="expression" priority="1248" id="{54315864-C027-4A6B-93FC-3ECCEEA2CE34}">
            <xm:f>'SCIMP Plan'!$F$46=2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49" id="{9B89CC5B-2737-46B6-A7BD-9EEDD99CBA2B}">
            <xm:f>'SCIMP Plan'!$F$46=1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I33</xm:sqref>
        </x14:conditionalFormatting>
        <x14:conditionalFormatting xmlns:xm="http://schemas.microsoft.com/office/excel/2006/main">
          <x14:cfRule type="expression" priority="539" id="{CDE5973D-28F7-4A61-9E33-7B167B200EDD}">
            <xm:f>'SCIMP Plan'!$F$61="W"</xm:f>
            <x14:dxf>
              <fill>
                <patternFill>
                  <bgColor rgb="FF7030A0"/>
                </patternFill>
              </fill>
            </x14:dxf>
          </x14:cfRule>
          <x14:cfRule type="expression" priority="1235" id="{35A65E2C-2C46-43DF-898B-2038734AA3EE}">
            <xm:f>'SCIMP Plan'!$F$61="D"</xm:f>
            <x14:dxf>
              <fill>
                <patternFill>
                  <bgColor theme="4"/>
                </patternFill>
              </fill>
            </x14:dxf>
          </x14:cfRule>
          <x14:cfRule type="expression" priority="1236" id="{73A82F2B-AC5E-4098-ADE8-53220B8C293A}">
            <xm:f>'SCIMP Plan'!$F$61=4</xm:f>
            <x14:dxf>
              <fill>
                <patternFill>
                  <bgColor theme="1"/>
                </patternFill>
              </fill>
            </x14:dxf>
          </x14:cfRule>
          <x14:cfRule type="expression" priority="1237" id="{DE9C3CF3-7663-4788-9A34-7883489CE20E}">
            <xm:f>'SCIMP Plan'!$F$61=3</xm:f>
            <x14:dxf>
              <fill>
                <patternFill>
                  <bgColor rgb="FFC00000"/>
                </patternFill>
              </fill>
            </x14:dxf>
          </x14:cfRule>
          <x14:cfRule type="expression" priority="1238" id="{0E2E4BBE-0DCB-4847-A28F-68E35E4A919A}">
            <xm:f>'SCIMP Plan'!$F$61=2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39" id="{322FE113-7EAA-48DA-A372-3C8186C52C5C}">
            <xm:f>'SCIMP Plan'!$F$61=1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I35</xm:sqref>
        </x14:conditionalFormatting>
        <x14:conditionalFormatting xmlns:xm="http://schemas.microsoft.com/office/excel/2006/main">
          <x14:cfRule type="expression" priority="537" id="{E881E8EF-3B72-45F8-8C98-C97C9A7F9BC7}">
            <xm:f>'SCIMP Plan'!$F$23="W"</xm:f>
            <x14:dxf>
              <fill>
                <patternFill>
                  <bgColor rgb="FF7030A0"/>
                </patternFill>
              </fill>
            </x14:dxf>
          </x14:cfRule>
          <x14:cfRule type="expression" priority="1225" id="{C972DC2F-8354-40EB-A2D1-3A132CB7B0B1}">
            <xm:f>'SCIMP Plan'!$F$23="D"</xm:f>
            <x14:dxf>
              <fill>
                <patternFill>
                  <bgColor theme="4"/>
                </patternFill>
              </fill>
            </x14:dxf>
          </x14:cfRule>
          <x14:cfRule type="expression" priority="1226" id="{B24F9B04-C7B2-4E9F-A1C8-1559414879E6}">
            <xm:f>'SCIMP Plan'!$F$23=4</xm:f>
            <x14:dxf>
              <fill>
                <patternFill>
                  <bgColor theme="1"/>
                </patternFill>
              </fill>
            </x14:dxf>
          </x14:cfRule>
          <x14:cfRule type="expression" priority="1227" id="{5D660A9F-5AE3-4037-BA43-23379338BFCF}">
            <xm:f>'SCIMP Plan'!$F$23=3</xm:f>
            <x14:dxf>
              <fill>
                <patternFill>
                  <bgColor rgb="FFC00000"/>
                </patternFill>
              </fill>
            </x14:dxf>
          </x14:cfRule>
          <x14:cfRule type="expression" priority="1228" id="{7585D268-F767-4354-89EA-AF5CFEC23B0F}">
            <xm:f>'SCIMP Plan'!$F$23=2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29" id="{2D8777CD-E226-420A-8F17-05A7EA21444D}">
            <xm:f>'SCIMP Plan'!$F$23=1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I37</xm:sqref>
        </x14:conditionalFormatting>
        <x14:conditionalFormatting xmlns:xm="http://schemas.microsoft.com/office/excel/2006/main">
          <x14:cfRule type="expression" priority="535" id="{30F416A2-6778-46FF-BB49-71BAF29BA4AB}">
            <xm:f>'SCIMP Plan'!$F$29="W"</xm:f>
            <x14:dxf>
              <fill>
                <patternFill>
                  <bgColor rgb="FF7030A0"/>
                </patternFill>
              </fill>
            </x14:dxf>
          </x14:cfRule>
          <x14:cfRule type="expression" priority="1210" id="{FED2A009-C0E7-46E6-A8EF-F48ED8625880}">
            <xm:f>'SCIMP Plan'!$F$29="D"</xm:f>
            <x14:dxf>
              <fill>
                <patternFill>
                  <bgColor theme="4"/>
                </patternFill>
              </fill>
            </x14:dxf>
          </x14:cfRule>
          <x14:cfRule type="expression" priority="1211" id="{EBBB3DF8-4770-4B4C-9EC5-D8BB651F1019}">
            <xm:f>'SCIMP Plan'!$F$29=4</xm:f>
            <x14:dxf>
              <fill>
                <patternFill>
                  <bgColor theme="1"/>
                </patternFill>
              </fill>
            </x14:dxf>
          </x14:cfRule>
          <x14:cfRule type="expression" priority="1212" id="{1A86751C-AE04-4A03-B166-9D777CCE8E71}">
            <xm:f>'SCIMP Plan'!$F$29=3</xm:f>
            <x14:dxf>
              <fill>
                <patternFill>
                  <bgColor rgb="FFC00000"/>
                </patternFill>
              </fill>
            </x14:dxf>
          </x14:cfRule>
          <x14:cfRule type="expression" priority="1213" id="{B3FA2848-02C8-4321-A92F-82C45E36AA0B}">
            <xm:f>'SCIMP Plan'!$F$29=2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14" id="{551517A7-5A9D-4EE3-94AC-B9ACD996363B}">
            <xm:f>'SCIMP Plan'!$F$29=1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I39</xm:sqref>
        </x14:conditionalFormatting>
        <x14:conditionalFormatting xmlns:xm="http://schemas.microsoft.com/office/excel/2006/main">
          <x14:cfRule type="expression" priority="533" id="{B7122D2C-E2FC-4B29-AA0E-3A01E60A6863}">
            <xm:f>'SCIMP Plan'!$F$73="W"</xm:f>
            <x14:dxf>
              <fill>
                <patternFill>
                  <bgColor rgb="FF7030A0"/>
                </patternFill>
              </fill>
            </x14:dxf>
          </x14:cfRule>
          <x14:cfRule type="expression" priority="555" id="{12CC6AE1-7C30-49A9-B4DA-50D94DC2E757}">
            <xm:f>'SCIMP Plan'!$F$73="D"</xm:f>
            <x14:dxf>
              <fill>
                <patternFill>
                  <bgColor theme="4"/>
                </patternFill>
              </fill>
            </x14:dxf>
          </x14:cfRule>
          <x14:cfRule type="expression" priority="556" id="{5FAA0428-66AF-4EB6-862A-CA8E0604CD61}">
            <xm:f>'SCIMP Plan'!$F$73=4</xm:f>
            <x14:dxf>
              <fill>
                <patternFill>
                  <bgColor theme="1"/>
                </patternFill>
              </fill>
            </x14:dxf>
          </x14:cfRule>
          <x14:cfRule type="expression" priority="557" id="{8DF07B1F-CEE0-4F01-9FF9-6A9231E34EE7}">
            <xm:f>'SCIMP Plan'!$F$73=3</xm:f>
            <x14:dxf>
              <fill>
                <patternFill>
                  <bgColor rgb="FFC00000"/>
                </patternFill>
              </fill>
            </x14:dxf>
          </x14:cfRule>
          <x14:cfRule type="expression" priority="558" id="{0AAAC8B8-2513-4A67-8B1A-D08D3AA6A93D}">
            <xm:f>'SCIMP Plan'!$F$73=2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59" id="{5C90C093-860A-4822-8D25-BB904A847FAC}">
            <xm:f>'SCIMP Plan'!$F$73=1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I41</xm:sqref>
        </x14:conditionalFormatting>
        <x14:conditionalFormatting xmlns:xm="http://schemas.microsoft.com/office/excel/2006/main">
          <x14:cfRule type="expression" priority="1882" id="{1038A9FE-0BB4-4F42-B8E6-BC4122264A75}">
            <xm:f>'SCIMP Plan'!$F$18="W"</xm:f>
            <x14:dxf>
              <fill>
                <patternFill>
                  <bgColor rgb="FF7030A0"/>
                </patternFill>
              </fill>
            </x14:dxf>
          </x14:cfRule>
          <x14:cfRule type="expression" priority="1883" id="{7BD985DA-3754-4EDF-9648-B6DA33E1DFEE}">
            <xm:f>'SCIMP Plan'!$F$18="D"</xm:f>
            <x14:dxf>
              <fill>
                <patternFill>
                  <bgColor theme="4"/>
                </patternFill>
              </fill>
            </x14:dxf>
          </x14:cfRule>
          <x14:cfRule type="expression" priority="1884" id="{F67225CD-97B4-4E9E-8B4A-93FCBD0DD80E}">
            <xm:f>'SCIMP Plan'!$F$18=4</xm:f>
            <x14:dxf>
              <fill>
                <patternFill>
                  <bgColor theme="1"/>
                </patternFill>
              </fill>
            </x14:dxf>
          </x14:cfRule>
          <x14:cfRule type="expression" priority="1885" id="{BFF997E4-CE09-4DF3-A6B3-7E02D4CCCD5B}">
            <xm:f>'SCIMP Plan'!$F$18=3</xm:f>
            <x14:dxf>
              <fill>
                <patternFill>
                  <bgColor rgb="FFC00000"/>
                </patternFill>
              </fill>
            </x14:dxf>
          </x14:cfRule>
          <x14:cfRule type="expression" priority="1886" id="{57681352-4932-49CF-9A8B-8024650DBD02}">
            <xm:f>'SCIMP Plan'!$F$18=2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87" id="{8134203D-408F-48E4-9BFC-4163EE93C427}">
            <xm:f>'SCIMP Plan'!$F$18=1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I48</xm:sqref>
        </x14:conditionalFormatting>
        <x14:conditionalFormatting xmlns:xm="http://schemas.microsoft.com/office/excel/2006/main">
          <x14:cfRule type="expression" priority="516" id="{DD2AF945-0564-46BC-A1D6-C50BEED1DCD6}">
            <xm:f>'SCIMP Plan'!$F$17="W"</xm:f>
            <x14:dxf>
              <fill>
                <patternFill>
                  <bgColor rgb="FF7030A0"/>
                </patternFill>
              </fill>
            </x14:dxf>
          </x14:cfRule>
          <x14:cfRule type="expression" priority="1185" id="{6CCB6455-A740-458E-B9B8-D4DA1BC725F0}">
            <xm:f>'SCIMP Plan'!$F$17="D"</xm:f>
            <x14:dxf>
              <fill>
                <patternFill>
                  <bgColor theme="4"/>
                </patternFill>
              </fill>
            </x14:dxf>
          </x14:cfRule>
          <x14:cfRule type="expression" priority="1186" id="{1DC9E8AE-B103-412C-925A-A2229C0E0170}">
            <xm:f>'SCIMP Plan'!$F$17=4</xm:f>
            <x14:dxf>
              <fill>
                <patternFill>
                  <bgColor theme="1"/>
                </patternFill>
              </fill>
            </x14:dxf>
          </x14:cfRule>
          <x14:cfRule type="expression" priority="1187" id="{6E449605-6C45-4DB1-ACCA-9F78099616A7}">
            <xm:f>'SCIMP Plan'!$F$17=3</xm:f>
            <x14:dxf>
              <fill>
                <patternFill>
                  <bgColor rgb="FFC00000"/>
                </patternFill>
              </fill>
            </x14:dxf>
          </x14:cfRule>
          <x14:cfRule type="expression" priority="1188" id="{C593E1D3-915E-4A60-AFDB-F0D59C87CDD7}">
            <xm:f>'SCIMP Plan'!$F$17=2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89" id="{A35C58CC-0A59-4478-B712-56D61DE78E7A}">
            <xm:f>'SCIMP Plan'!$F$17=1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I50</xm:sqref>
        </x14:conditionalFormatting>
        <x14:conditionalFormatting xmlns:xm="http://schemas.microsoft.com/office/excel/2006/main">
          <x14:cfRule type="expression" priority="514" id="{5794DDC0-B4D0-4C3B-B676-1069D6E2D200}">
            <xm:f>'SCIMP Plan'!$F$60="W"</xm:f>
            <x14:dxf>
              <fill>
                <patternFill>
                  <bgColor rgb="FF7030A0"/>
                </patternFill>
              </fill>
            </x14:dxf>
          </x14:cfRule>
          <x14:cfRule type="expression" priority="1175" id="{BAEA061A-14D8-48B5-80E1-8490F232795B}">
            <xm:f>'SCIMP Plan'!$F$60="D"</xm:f>
            <x14:dxf>
              <fill>
                <patternFill>
                  <bgColor theme="4"/>
                </patternFill>
              </fill>
            </x14:dxf>
          </x14:cfRule>
          <x14:cfRule type="expression" priority="1176" id="{617BE992-C8AB-43FD-A0FE-12C458C7A56F}">
            <xm:f>'SCIMP Plan'!$F$60=4</xm:f>
            <x14:dxf>
              <fill>
                <patternFill>
                  <bgColor theme="1"/>
                </patternFill>
              </fill>
            </x14:dxf>
          </x14:cfRule>
          <x14:cfRule type="expression" priority="1177" id="{3F5328B9-A97C-42BE-9D12-9F0B020A1416}">
            <xm:f>'SCIMP Plan'!$F$60=3</xm:f>
            <x14:dxf>
              <fill>
                <patternFill>
                  <bgColor rgb="FFC00000"/>
                </patternFill>
              </fill>
            </x14:dxf>
          </x14:cfRule>
          <x14:cfRule type="expression" priority="1178" id="{76093B08-ABC2-4EEF-A6A7-2E3DF611DF35}">
            <xm:f>'SCIMP Plan'!$F$60=2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79" id="{03CB7F00-54DC-4688-95DF-C46725DDB361}">
            <xm:f>'SCIMP Plan'!$F$60=1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I52</xm:sqref>
        </x14:conditionalFormatting>
        <x14:conditionalFormatting xmlns:xm="http://schemas.microsoft.com/office/excel/2006/main">
          <x14:cfRule type="expression" priority="2082" id="{ED921F63-44CD-4ABD-B6A8-C506DED279DF}">
            <xm:f>'SCIMP Plan'!$F$45="W"</xm:f>
            <x14:dxf>
              <fill>
                <patternFill>
                  <bgColor rgb="FF7030A0"/>
                </patternFill>
              </fill>
            </x14:dxf>
          </x14:cfRule>
          <x14:cfRule type="expression" priority="2083" id="{6362A7FF-6FDC-4960-9ACE-688C96BA62A7}">
            <xm:f>'SCIMP Plan'!$F$45="D"</xm:f>
            <x14:dxf>
              <fill>
                <patternFill>
                  <bgColor theme="4"/>
                </patternFill>
              </fill>
            </x14:dxf>
          </x14:cfRule>
          <x14:cfRule type="expression" priority="2084" id="{FD1232D6-592B-4885-A7B5-3C800703C5A9}">
            <xm:f>'SCIMP Plan'!$F$45=4</xm:f>
            <x14:dxf>
              <fill>
                <patternFill>
                  <bgColor theme="1"/>
                </patternFill>
              </fill>
            </x14:dxf>
          </x14:cfRule>
          <x14:cfRule type="expression" priority="2085" id="{2531B84F-BC2F-47D1-ACC8-CE8CB393BE38}">
            <xm:f>'SCIMP Plan'!$F$45=3</xm:f>
            <x14:dxf>
              <fill>
                <patternFill>
                  <bgColor rgb="FFC00000"/>
                </patternFill>
              </fill>
            </x14:dxf>
          </x14:cfRule>
          <x14:cfRule type="expression" priority="2086" id="{2A6238ED-17B6-4264-84CF-EAAC397F2E40}">
            <xm:f>'SCIMP Plan'!$F$45=2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087" id="{8C0FB093-80CF-4F66-9E3F-6DC4C1C3588B}">
            <xm:f>'SCIMP Plan'!$F$45=1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I54</xm:sqref>
        </x14:conditionalFormatting>
        <x14:conditionalFormatting xmlns:xm="http://schemas.microsoft.com/office/excel/2006/main">
          <x14:cfRule type="expression" priority="510" id="{4A98C07C-41D3-4468-B4B8-3D852971C1AE}">
            <xm:f>'SCIMP Plan'!$F$13="W"</xm:f>
            <x14:dxf>
              <fill>
                <patternFill>
                  <bgColor rgb="FF7030A0"/>
                </patternFill>
              </fill>
            </x14:dxf>
          </x14:cfRule>
          <x14:cfRule type="expression" priority="1155" id="{6D4718B6-AD6C-4061-854D-A76767DC1492}">
            <xm:f>'SCIMP Plan'!$F$13="D"</xm:f>
            <x14:dxf>
              <fill>
                <patternFill>
                  <bgColor theme="4"/>
                </patternFill>
              </fill>
            </x14:dxf>
          </x14:cfRule>
          <x14:cfRule type="expression" priority="1156" id="{D2A9555F-B452-4521-91E7-413366F41332}">
            <xm:f>'SCIMP Plan'!$F$13=4</xm:f>
            <x14:dxf>
              <fill>
                <patternFill>
                  <bgColor theme="1"/>
                </patternFill>
              </fill>
            </x14:dxf>
          </x14:cfRule>
          <x14:cfRule type="expression" priority="1157" id="{8FF9009B-8C1C-49FF-9BC1-DA76D6AFED5F}">
            <xm:f>'SCIMP Plan'!$F$13=3</xm:f>
            <x14:dxf>
              <fill>
                <patternFill>
                  <bgColor rgb="FFC00000"/>
                </patternFill>
              </fill>
            </x14:dxf>
          </x14:cfRule>
          <x14:cfRule type="expression" priority="1158" id="{CB1227EF-C398-4388-9889-829979274291}">
            <xm:f>'SCIMP Plan'!$F$13=2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59" id="{83619989-CD76-42ED-97C7-61A748D74DD7}">
            <xm:f>'SCIMP Plan'!$F$13=1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I56</xm:sqref>
        </x14:conditionalFormatting>
        <x14:conditionalFormatting xmlns:xm="http://schemas.microsoft.com/office/excel/2006/main">
          <x14:cfRule type="expression" priority="423" id="{981AD5F6-78BB-47E2-BD0D-0C9DFC0916A1}">
            <xm:f>'SCIMP Plan'!$F$4="W"</xm:f>
            <x14:dxf>
              <fill>
                <patternFill>
                  <bgColor rgb="FF7030A0"/>
                </patternFill>
              </fill>
            </x14:dxf>
          </x14:cfRule>
          <x14:cfRule type="expression" priority="1145" id="{5F43EA71-708D-4BBB-82F4-A37C96B260B4}">
            <xm:f>'SCIMP Plan'!$F$4="D"</xm:f>
            <x14:dxf>
              <fill>
                <patternFill>
                  <bgColor theme="4"/>
                </patternFill>
              </fill>
            </x14:dxf>
          </x14:cfRule>
          <x14:cfRule type="expression" priority="1146" id="{8ACC8E89-77A5-4B72-99BB-85E8254FA75F}">
            <xm:f>'SCIMP Plan'!$F$4=4</xm:f>
            <x14:dxf>
              <fill>
                <patternFill>
                  <bgColor theme="1"/>
                </patternFill>
              </fill>
            </x14:dxf>
          </x14:cfRule>
          <x14:cfRule type="expression" priority="1147" id="{02A3EE80-8F47-4062-B637-7FBF6E6FC48E}">
            <xm:f>'SCIMP Plan'!$F$4=3</xm:f>
            <x14:dxf>
              <fill>
                <patternFill>
                  <bgColor rgb="FFC00000"/>
                </patternFill>
              </fill>
            </x14:dxf>
          </x14:cfRule>
          <x14:cfRule type="expression" priority="1148" id="{68526986-F4FD-4EB3-85FF-5178BB55B104}">
            <xm:f>'SCIMP Plan'!$F$4=2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49" id="{754FDC32-C24C-48DE-A6A6-29B8EE06AC73}">
            <xm:f>'SCIMP Plan'!$F$4=1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I58</xm:sqref>
        </x14:conditionalFormatting>
        <x14:conditionalFormatting xmlns:xm="http://schemas.microsoft.com/office/excel/2006/main">
          <x14:cfRule type="expression" priority="548" id="{39FCF9EE-4891-442F-97A5-251B29BD41E1}">
            <xm:f>'SCIMP Plan'!$F$117="W"</xm:f>
            <x14:dxf>
              <fill>
                <patternFill>
                  <bgColor rgb="FF7030A0"/>
                </patternFill>
              </fill>
            </x14:dxf>
          </x14:cfRule>
          <x14:cfRule type="expression" priority="1130" id="{DB39B33F-84B5-4A95-A4BF-4CAF4F981580}">
            <xm:f>'SCIMP Plan'!$F$117="D"</xm:f>
            <x14:dxf>
              <fill>
                <patternFill>
                  <bgColor theme="4"/>
                </patternFill>
              </fill>
            </x14:dxf>
          </x14:cfRule>
          <x14:cfRule type="expression" priority="1131" id="{F444BA09-C3DB-4CFC-98F2-85BCF4FED049}">
            <xm:f>'SCIMP Plan'!$F$117=4</xm:f>
            <x14:dxf>
              <fill>
                <patternFill>
                  <bgColor theme="1"/>
                </patternFill>
              </fill>
            </x14:dxf>
          </x14:cfRule>
          <x14:cfRule type="expression" priority="1132" id="{CC10B1E7-551C-43B7-A245-8DD62D8B895D}">
            <xm:f>'SCIMP Plan'!$F$117=3</xm:f>
            <x14:dxf>
              <fill>
                <patternFill>
                  <bgColor rgb="FFC00000"/>
                </patternFill>
              </fill>
            </x14:dxf>
          </x14:cfRule>
          <x14:cfRule type="expression" priority="1133" id="{AC5A9C40-7A59-4BD4-8814-11CBB212478B}">
            <xm:f>'SCIMP Plan'!$F$117=2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34" id="{BC224448-85B2-4E34-8CDE-D575F771F923}">
            <xm:f>'SCIMP Plan'!$F$117=1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M12</xm:sqref>
        </x14:conditionalFormatting>
        <x14:conditionalFormatting xmlns:xm="http://schemas.microsoft.com/office/excel/2006/main">
          <x14:cfRule type="expression" priority="326" id="{C637E7F2-D8A1-433D-9AD2-A26D0E56AF47}">
            <xm:f>'SCIMP Plan'!$F$107="W"</xm:f>
            <x14:dxf>
              <fill>
                <patternFill>
                  <bgColor rgb="FF7030A0"/>
                </patternFill>
              </fill>
            </x14:dxf>
          </x14:cfRule>
          <x14:cfRule type="expression" priority="327" id="{651C0137-F431-4B69-B49E-0F1183B0865D}">
            <xm:f>'SCIMP Plan'!$F$107="D"</xm:f>
            <x14:dxf>
              <fill>
                <patternFill>
                  <bgColor theme="4"/>
                </patternFill>
              </fill>
            </x14:dxf>
          </x14:cfRule>
          <x14:cfRule type="expression" priority="328" id="{F70C3D02-5A1C-4405-917F-4BA8A0DE7CB4}">
            <xm:f>'SCIMP Plan'!$F$107=4</xm:f>
            <x14:dxf>
              <fill>
                <patternFill>
                  <bgColor theme="1"/>
                </patternFill>
              </fill>
            </x14:dxf>
          </x14:cfRule>
          <x14:cfRule type="expression" priority="329" id="{DD4B37B9-6EEE-415C-9CB5-505FE0E638D0}">
            <xm:f>'SCIMP Plan'!$F$107=3</xm:f>
            <x14:dxf>
              <fill>
                <patternFill>
                  <bgColor rgb="FFC00000"/>
                </patternFill>
              </fill>
            </x14:dxf>
          </x14:cfRule>
          <x14:cfRule type="expression" priority="330" id="{3965B2FB-4CE4-4CF9-B7F3-F93EE28D41CF}">
            <xm:f>'SCIMP Plan'!$F$107=2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31" id="{BBFF73ED-B52D-4D89-89E4-AD6064788849}">
            <xm:f>'SCIMP Plan'!$F$107=1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M14</xm:sqref>
        </x14:conditionalFormatting>
        <x14:conditionalFormatting xmlns:xm="http://schemas.microsoft.com/office/excel/2006/main">
          <x14:cfRule type="expression" priority="314" id="{C6DEC835-329F-40A0-89B0-6A758F3C988B}">
            <xm:f>'SCIMP Plan'!$F$94="W"</xm:f>
            <x14:dxf>
              <fill>
                <patternFill>
                  <bgColor rgb="FF7030A0"/>
                </patternFill>
              </fill>
            </x14:dxf>
          </x14:cfRule>
          <x14:cfRule type="expression" priority="315" id="{71D35A9B-2DD3-47B8-83C4-864757268F71}">
            <xm:f>'SCIMP Plan'!$F$94="D"</xm:f>
            <x14:dxf>
              <fill>
                <patternFill>
                  <bgColor theme="4"/>
                </patternFill>
              </fill>
            </x14:dxf>
          </x14:cfRule>
          <x14:cfRule type="expression" priority="316" id="{EDA22D19-1F6F-4A1C-A2A1-62865D8157EC}">
            <xm:f>'SCIMP Plan'!$F$94=4</xm:f>
            <x14:dxf>
              <fill>
                <patternFill>
                  <bgColor theme="1"/>
                </patternFill>
              </fill>
            </x14:dxf>
          </x14:cfRule>
          <x14:cfRule type="expression" priority="317" id="{613CFB7A-EDBD-4476-8929-07D912715BD5}">
            <xm:f>'SCIMP Plan'!$F$94=3</xm:f>
            <x14:dxf>
              <fill>
                <patternFill>
                  <bgColor rgb="FFC00000"/>
                </patternFill>
              </fill>
            </x14:dxf>
          </x14:cfRule>
          <x14:cfRule type="expression" priority="318" id="{E57E9577-6919-4A18-A437-3A90ACCB6624}">
            <xm:f>'SCIMP Plan'!$F$94=2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19" id="{3C1DB218-CE07-4F20-BE16-99D8B318AF6F}">
            <xm:f>'SCIMP Plan'!$F$94=1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M16</xm:sqref>
        </x14:conditionalFormatting>
        <x14:conditionalFormatting xmlns:xm="http://schemas.microsoft.com/office/excel/2006/main">
          <x14:cfRule type="expression" priority="532" id="{E31B2225-E6CC-499A-895D-B22038C5BC49}">
            <xm:f>'SCIMP Plan'!$F$47="W"</xm:f>
            <x14:dxf>
              <fill>
                <patternFill>
                  <bgColor rgb="FF7030A0"/>
                </patternFill>
              </fill>
            </x14:dxf>
          </x14:cfRule>
          <x14:cfRule type="expression" priority="1045" id="{8BD41526-5E81-4C48-8A71-9D35EC794AB6}">
            <xm:f>'SCIMP Plan'!$F$47="D"</xm:f>
            <x14:dxf>
              <fill>
                <patternFill>
                  <bgColor theme="4"/>
                </patternFill>
              </fill>
            </x14:dxf>
          </x14:cfRule>
          <x14:cfRule type="expression" priority="1046" id="{C4667E3A-5D1B-4816-8E70-83DCD198EBD3}">
            <xm:f>'SCIMP Plan'!$F$47=4</xm:f>
            <x14:dxf>
              <fill>
                <patternFill>
                  <bgColor theme="1"/>
                </patternFill>
              </fill>
            </x14:dxf>
          </x14:cfRule>
          <x14:cfRule type="expression" priority="1047" id="{31A98216-DBC1-42B9-BD00-E603BCD8E25D}">
            <xm:f>'SCIMP Plan'!$F$47=3</xm:f>
            <x14:dxf>
              <fill>
                <patternFill>
                  <bgColor rgb="FFC00000"/>
                </patternFill>
              </fill>
            </x14:dxf>
          </x14:cfRule>
          <x14:cfRule type="expression" priority="1048" id="{F3A666FB-AC78-4D89-8154-9BE66211486C}">
            <xm:f>'SCIMP Plan'!$F$47=2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49" id="{E2D2B325-4C71-4CD7-A6AA-83921E58B8CB}">
            <xm:f>'SCIMP Plan'!$F$47=1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M31</xm:sqref>
        </x14:conditionalFormatting>
        <x14:conditionalFormatting xmlns:xm="http://schemas.microsoft.com/office/excel/2006/main">
          <x14:cfRule type="expression" priority="530" id="{02B488BD-B1B3-4B3D-AE95-C4784C5DD93C}">
            <xm:f>'SCIMP Plan'!$F$100="W"</xm:f>
            <x14:dxf>
              <fill>
                <patternFill>
                  <bgColor rgb="FF7030A0"/>
                </patternFill>
              </fill>
            </x14:dxf>
          </x14:cfRule>
          <x14:cfRule type="expression" priority="1055" id="{9D6C7F33-F95D-49E9-9E66-637E1435540A}">
            <xm:f>'SCIMP Plan'!$F$100="D"</xm:f>
            <x14:dxf>
              <fill>
                <patternFill>
                  <bgColor theme="4"/>
                </patternFill>
              </fill>
            </x14:dxf>
          </x14:cfRule>
          <x14:cfRule type="expression" priority="1056" id="{9A53208A-A4CA-45EE-B391-0D5A8348934D}">
            <xm:f>'SCIMP Plan'!$F$100=4</xm:f>
            <x14:dxf>
              <fill>
                <patternFill>
                  <bgColor theme="1"/>
                </patternFill>
              </fill>
            </x14:dxf>
          </x14:cfRule>
          <x14:cfRule type="expression" priority="1057" id="{836C5AC6-C040-4DBA-81A8-E82493A39988}">
            <xm:f>'SCIMP Plan'!$F$100=3</xm:f>
            <x14:dxf>
              <fill>
                <patternFill>
                  <bgColor rgb="FFC00000"/>
                </patternFill>
              </fill>
            </x14:dxf>
          </x14:cfRule>
          <x14:cfRule type="expression" priority="1058" id="{FDAFF45D-C373-437C-801A-00E7C75C4D5A}">
            <xm:f>'SCIMP Plan'!$F$100=2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59" id="{229BD143-432A-4296-8A8A-C848A2102492}">
            <xm:f>'SCIMP Plan'!$F$100=1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M33</xm:sqref>
        </x14:conditionalFormatting>
        <x14:conditionalFormatting xmlns:xm="http://schemas.microsoft.com/office/excel/2006/main">
          <x14:cfRule type="expression" priority="528" id="{999E636B-BEAF-4CBD-8B7D-B7858F440E8C}">
            <xm:f>'SCIMP Plan'!$F$98="W"</xm:f>
            <x14:dxf>
              <fill>
                <patternFill>
                  <bgColor rgb="FF7030A0"/>
                </patternFill>
              </fill>
            </x14:dxf>
          </x14:cfRule>
          <x14:cfRule type="expression" priority="1070" id="{23DA7BBD-9D33-46B7-9D38-95E00270D12B}">
            <xm:f>'SCIMP Plan'!$F$98="D"</xm:f>
            <x14:dxf>
              <fill>
                <patternFill>
                  <bgColor theme="4"/>
                </patternFill>
              </fill>
            </x14:dxf>
          </x14:cfRule>
          <x14:cfRule type="expression" priority="1071" id="{A40AAC08-862E-4408-B784-E7FBB4C0FE01}">
            <xm:f>'SCIMP Plan'!$F$98=4</xm:f>
            <x14:dxf>
              <fill>
                <patternFill>
                  <bgColor theme="1"/>
                </patternFill>
              </fill>
            </x14:dxf>
          </x14:cfRule>
          <x14:cfRule type="expression" priority="1072" id="{7F623761-A215-4AC5-B6C6-6BC83FB1BDCF}">
            <xm:f>'SCIMP Plan'!$F$98=3</xm:f>
            <x14:dxf>
              <fill>
                <patternFill>
                  <bgColor rgb="FFC00000"/>
                </patternFill>
              </fill>
            </x14:dxf>
          </x14:cfRule>
          <x14:cfRule type="expression" priority="1073" id="{AD9E2181-8D5A-4F55-908B-61EB89B6A73A}">
            <xm:f>'SCIMP Plan'!$F$98=2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74" id="{1AD8B6B2-54DC-40CC-A6C3-AD6BE59AF42B}">
            <xm:f>'SCIMP Plan'!$F$98=1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M35</xm:sqref>
        </x14:conditionalFormatting>
        <x14:conditionalFormatting xmlns:xm="http://schemas.microsoft.com/office/excel/2006/main">
          <x14:cfRule type="expression" priority="526" id="{6F33E157-8A20-4F85-B354-7634EDF7E015}">
            <xm:f>'SCIMP Plan'!$F$118="W"</xm:f>
            <x14:dxf>
              <fill>
                <patternFill>
                  <bgColor rgb="FF7030A0"/>
                </patternFill>
              </fill>
            </x14:dxf>
          </x14:cfRule>
          <x14:cfRule type="expression" priority="1075" id="{BD76C6E6-C8F0-4AA9-95B7-6DA64352CFC4}">
            <xm:f>'SCIMP Plan'!$F$118="D"</xm:f>
            <x14:dxf>
              <fill>
                <patternFill>
                  <bgColor theme="4"/>
                </patternFill>
              </fill>
            </x14:dxf>
          </x14:cfRule>
          <x14:cfRule type="expression" priority="1076" id="{60FD4D66-FC75-48FC-9E25-940E5159060E}">
            <xm:f>'SCIMP Plan'!$F$118=4</xm:f>
            <x14:dxf>
              <fill>
                <patternFill>
                  <bgColor theme="1"/>
                </patternFill>
              </fill>
            </x14:dxf>
          </x14:cfRule>
          <x14:cfRule type="expression" priority="1077" id="{C0B8F291-B911-4AFD-A809-A8A4579697F5}">
            <xm:f>'SCIMP Plan'!$F$118=3</xm:f>
            <x14:dxf>
              <fill>
                <patternFill>
                  <bgColor rgb="FFC00000"/>
                </patternFill>
              </fill>
            </x14:dxf>
          </x14:cfRule>
          <x14:cfRule type="expression" priority="1078" id="{D0B2BBD8-B835-474D-ABD3-3F4F15CECDB4}">
            <xm:f>'SCIMP Plan'!$F$118=2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79" id="{F393D78F-0F96-4E1A-A395-3F4315A4460B}">
            <xm:f>'SCIMP Plan'!$F$118=1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M37</xm:sqref>
        </x14:conditionalFormatting>
        <x14:conditionalFormatting xmlns:xm="http://schemas.microsoft.com/office/excel/2006/main">
          <x14:cfRule type="expression" priority="1780" id="{0AD0A103-A4D3-4394-8EFF-820111A79DB5}">
            <xm:f>'SCIMP Plan'!$F$83="W"</xm:f>
            <x14:dxf>
              <fill>
                <patternFill>
                  <bgColor rgb="FF7030A0"/>
                </patternFill>
              </fill>
            </x14:dxf>
          </x14:cfRule>
          <x14:cfRule type="expression" priority="1781" id="{45FE0AEA-0868-4B97-85E7-47EF8F761E88}">
            <xm:f>'SCIMP Plan'!$F$83="D"</xm:f>
            <x14:dxf>
              <fill>
                <patternFill>
                  <bgColor theme="4"/>
                </patternFill>
              </fill>
            </x14:dxf>
          </x14:cfRule>
          <x14:cfRule type="expression" priority="1782" id="{0CDC1A48-836C-475E-BE09-438EBBA85D94}">
            <xm:f>'SCIMP Plan'!$F$83=4</xm:f>
            <x14:dxf>
              <fill>
                <patternFill>
                  <bgColor theme="1"/>
                </patternFill>
              </fill>
            </x14:dxf>
          </x14:cfRule>
          <x14:cfRule type="expression" priority="1783" id="{6C5D57C3-66F4-4627-AB06-C2C32B106C6E}">
            <xm:f>'SCIMP Plan'!$F$83=3</xm:f>
            <x14:dxf>
              <fill>
                <patternFill>
                  <bgColor rgb="FFC00000"/>
                </patternFill>
              </fill>
            </x14:dxf>
          </x14:cfRule>
          <x14:cfRule type="expression" priority="1784" id="{98A6507B-C724-480D-AB4A-8AB2721ABA72}">
            <xm:f>'SCIMP Plan'!$F$83=2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85" id="{165E4118-FDD7-47AD-990F-42D87DAA276C}">
            <xm:f>'SCIMP Plan'!$F$83=1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M39</xm:sqref>
        </x14:conditionalFormatting>
        <x14:conditionalFormatting xmlns:xm="http://schemas.microsoft.com/office/excel/2006/main">
          <x14:cfRule type="expression" priority="1786" id="{75B49CEB-44E9-4FA8-BD30-D4EDFDED03AB}">
            <xm:f>'SCIMP Plan'!$F$85="W"</xm:f>
            <x14:dxf>
              <fill>
                <patternFill>
                  <bgColor rgb="FF7030A0"/>
                </patternFill>
              </fill>
            </x14:dxf>
          </x14:cfRule>
          <x14:cfRule type="expression" priority="1787" id="{8EEC48BB-154B-48BF-8846-FDD5425D58F2}">
            <xm:f>'SCIMP Plan'!$F$85="D"</xm:f>
            <x14:dxf>
              <fill>
                <patternFill>
                  <bgColor theme="4"/>
                </patternFill>
              </fill>
            </x14:dxf>
          </x14:cfRule>
          <x14:cfRule type="expression" priority="1788" id="{42A58558-E891-487F-B720-6E804B9DC3D6}">
            <xm:f>'SCIMP Plan'!$F$85=4</xm:f>
            <x14:dxf>
              <fill>
                <patternFill>
                  <bgColor theme="1"/>
                </patternFill>
              </fill>
            </x14:dxf>
          </x14:cfRule>
          <x14:cfRule type="expression" priority="1789" id="{CA1F8637-3E0D-467B-8F43-CFE996ED2E6A}">
            <xm:f>'SCIMP Plan'!$F$85=3</xm:f>
            <x14:dxf>
              <fill>
                <patternFill>
                  <bgColor rgb="FFC00000"/>
                </patternFill>
              </fill>
            </x14:dxf>
          </x14:cfRule>
          <x14:cfRule type="expression" priority="1790" id="{BFA8FA1B-C222-4A0B-973C-C81E3E652752}">
            <xm:f>'SCIMP Plan'!$F$85=2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91" id="{46B5D16D-DA81-4E90-989E-D7E4A060DA7D}">
            <xm:f>'SCIMP Plan'!$F$85=1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M41</xm:sqref>
        </x14:conditionalFormatting>
        <x14:conditionalFormatting xmlns:xm="http://schemas.microsoft.com/office/excel/2006/main">
          <x14:cfRule type="expression" priority="520" id="{057C5A7E-ACB8-4775-AC8E-8EE6C18B0A75}">
            <xm:f>'SCIMP Plan'!$F$112="W"</xm:f>
            <x14:dxf>
              <fill>
                <patternFill>
                  <bgColor rgb="FF7030A0"/>
                </patternFill>
              </fill>
            </x14:dxf>
          </x14:cfRule>
          <x14:cfRule type="expression" priority="1110" id="{BDC8CE5C-F3EA-44ED-9760-A9BDC28CFF46}">
            <xm:f>'SCIMP Plan'!$F$112="D"</xm:f>
            <x14:dxf>
              <fill>
                <patternFill>
                  <bgColor theme="4"/>
                </patternFill>
              </fill>
            </x14:dxf>
          </x14:cfRule>
          <x14:cfRule type="expression" priority="1111" id="{63DF8E57-3FE7-4945-9C81-8541728D6ACA}">
            <xm:f>'SCIMP Plan'!$F$112=4</xm:f>
            <x14:dxf>
              <fill>
                <patternFill>
                  <bgColor theme="1"/>
                </patternFill>
              </fill>
            </x14:dxf>
          </x14:cfRule>
          <x14:cfRule type="expression" priority="1112" id="{4A1D972D-6740-4607-8443-1587563DD0EF}">
            <xm:f>'SCIMP Plan'!$F$112=3</xm:f>
            <x14:dxf>
              <fill>
                <patternFill>
                  <bgColor rgb="FFC00000"/>
                </patternFill>
              </fill>
            </x14:dxf>
          </x14:cfRule>
          <x14:cfRule type="expression" priority="1113" id="{CFC9FA3A-FC93-46EA-AA92-5C9B7957844A}">
            <xm:f>'SCIMP Plan'!$F$112=2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14" id="{5E29F34D-399C-4BE5-89C3-C16496BC1242}">
            <xm:f>'SCIMP Plan'!$F$112=1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M43</xm:sqref>
        </x14:conditionalFormatting>
        <x14:conditionalFormatting xmlns:xm="http://schemas.microsoft.com/office/excel/2006/main">
          <x14:cfRule type="expression" priority="350" id="{6435708E-6B80-4AA4-9650-CD98CC92B4CB}">
            <xm:f>'SCIMP Plan'!$F$81="W"</xm:f>
            <x14:dxf>
              <fill>
                <patternFill>
                  <bgColor rgb="FF7030A0"/>
                </patternFill>
              </fill>
            </x14:dxf>
          </x14:cfRule>
          <x14:cfRule type="expression" priority="351" id="{9BB6C6DC-8E21-4A54-B317-61A0030D85F1}">
            <xm:f>'SCIMP Plan'!$F$81="D"</xm:f>
            <x14:dxf>
              <fill>
                <patternFill>
                  <bgColor theme="4"/>
                </patternFill>
              </fill>
            </x14:dxf>
          </x14:cfRule>
          <x14:cfRule type="expression" priority="352" id="{497FC039-08E2-4375-A5AF-B7FB2E3C47E0}">
            <xm:f>'SCIMP Plan'!$F$81=4</xm:f>
            <x14:dxf>
              <fill>
                <patternFill>
                  <bgColor theme="1"/>
                </patternFill>
              </fill>
            </x14:dxf>
          </x14:cfRule>
          <x14:cfRule type="expression" priority="353" id="{9B913878-EDFA-4468-8E2B-46FEC8408DF0}">
            <xm:f>'SCIMP Plan'!$F$81=3</xm:f>
            <x14:dxf>
              <fill>
                <patternFill>
                  <bgColor rgb="FFC00000"/>
                </patternFill>
              </fill>
            </x14:dxf>
          </x14:cfRule>
          <x14:cfRule type="expression" priority="354" id="{5112DA61-B56C-48FA-BF43-FCFDC1735B6C}">
            <xm:f>'SCIMP Plan'!$F$81=2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55" id="{8D38865D-E554-441E-9942-EC234614D944}">
            <xm:f>'SCIMP Plan'!$F$81=1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M45</xm:sqref>
        </x14:conditionalFormatting>
        <x14:conditionalFormatting xmlns:xm="http://schemas.microsoft.com/office/excel/2006/main">
          <x14:cfRule type="expression" priority="508" id="{0338957A-36F1-47A4-8E17-F9C7650AB000}">
            <xm:f>'SCIMP Plan'!$F$105="W"</xm:f>
            <x14:dxf>
              <fill>
                <patternFill>
                  <bgColor rgb="FF7030A0"/>
                </patternFill>
              </fill>
            </x14:dxf>
          </x14:cfRule>
          <x14:cfRule type="expression" priority="1030" id="{85855280-05C9-4E30-8331-AAD1D77D2458}">
            <xm:f>'SCIMP Plan'!$F$105="D"</xm:f>
            <x14:dxf>
              <fill>
                <patternFill>
                  <bgColor theme="4"/>
                </patternFill>
              </fill>
            </x14:dxf>
          </x14:cfRule>
          <x14:cfRule type="expression" priority="1031" id="{87CDF8AC-4E48-4DFD-A30B-1321924CE333}">
            <xm:f>'SCIMP Plan'!$F$105=4</xm:f>
            <x14:dxf>
              <fill>
                <patternFill>
                  <bgColor theme="1"/>
                </patternFill>
              </fill>
            </x14:dxf>
          </x14:cfRule>
          <x14:cfRule type="expression" priority="1032" id="{1BECD1AB-6804-48B0-88D6-64715FE90641}">
            <xm:f>'SCIMP Plan'!$F$105=3</xm:f>
            <x14:dxf>
              <fill>
                <patternFill>
                  <bgColor rgb="FFC00000"/>
                </patternFill>
              </fill>
            </x14:dxf>
          </x14:cfRule>
          <x14:cfRule type="expression" priority="1033" id="{B03C4E21-8A57-48EC-AFDA-7AF12BFF9A86}">
            <xm:f>'SCIMP Plan'!$F$105=2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34" id="{98D9DBE4-0805-43E2-B2CD-F9A62303F62B}">
            <xm:f>'SCIMP Plan'!$F$105=1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M48</xm:sqref>
        </x14:conditionalFormatting>
        <x14:conditionalFormatting xmlns:xm="http://schemas.microsoft.com/office/excel/2006/main">
          <x14:cfRule type="expression" priority="506" id="{2962E45F-4074-4286-BB4F-4C27834B6C98}">
            <xm:f>'SCIMP Plan'!$F$114="W"</xm:f>
            <x14:dxf>
              <fill>
                <patternFill>
                  <bgColor rgb="FF7030A0"/>
                </patternFill>
              </fill>
            </x14:dxf>
          </x14:cfRule>
          <x14:cfRule type="expression" priority="1020" id="{E06EB19D-564E-4354-840D-015B34503C4C}">
            <xm:f>'SCIMP Plan'!$F$114="D"</xm:f>
            <x14:dxf>
              <fill>
                <patternFill>
                  <bgColor theme="4"/>
                </patternFill>
              </fill>
            </x14:dxf>
          </x14:cfRule>
          <x14:cfRule type="expression" priority="1021" id="{38A38D3F-9E11-4E2B-A4E4-5DDCCB14BEF8}">
            <xm:f>'SCIMP Plan'!$F$114=4</xm:f>
            <x14:dxf>
              <fill>
                <patternFill>
                  <bgColor theme="1"/>
                </patternFill>
              </fill>
            </x14:dxf>
          </x14:cfRule>
          <x14:cfRule type="expression" priority="1022" id="{74DF1960-9E73-40E5-AF09-FB4B0B80AA47}">
            <xm:f>'SCIMP Plan'!$F$114=3</xm:f>
            <x14:dxf>
              <fill>
                <patternFill>
                  <bgColor rgb="FFC00000"/>
                </patternFill>
              </fill>
            </x14:dxf>
          </x14:cfRule>
          <x14:cfRule type="expression" priority="1023" id="{5D2C0C78-C676-44BC-9611-43EBBF7F7F2F}">
            <xm:f>'SCIMP Plan'!$F$114=2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24" id="{8BBB7E72-137A-4454-8C56-AC4D6EFD47F4}">
            <xm:f>'SCIMP Plan'!$F$114=1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M50</xm:sqref>
        </x14:conditionalFormatting>
        <x14:conditionalFormatting xmlns:xm="http://schemas.microsoft.com/office/excel/2006/main">
          <x14:cfRule type="expression" priority="504" id="{D7D7D3F3-5D16-48D5-9360-144FA91CB326}">
            <xm:f>'SCIMP Plan'!$F$121="W"</xm:f>
            <x14:dxf>
              <fill>
                <patternFill>
                  <bgColor rgb="FF7030A0"/>
                </patternFill>
              </fill>
            </x14:dxf>
          </x14:cfRule>
          <x14:cfRule type="expression" priority="1010" id="{C30E6650-C19B-4C34-B751-0CABDE0EF4EE}">
            <xm:f>'SCIMP Plan'!$F$121="D"</xm:f>
            <x14:dxf>
              <fill>
                <patternFill>
                  <bgColor theme="4"/>
                </patternFill>
              </fill>
            </x14:dxf>
          </x14:cfRule>
          <x14:cfRule type="expression" priority="1011" id="{169E55B8-F0FC-45AB-A3BD-41918F097A8D}">
            <xm:f>'SCIMP Plan'!$F$121=4</xm:f>
            <x14:dxf>
              <fill>
                <patternFill>
                  <bgColor theme="1"/>
                </patternFill>
              </fill>
            </x14:dxf>
          </x14:cfRule>
          <x14:cfRule type="expression" priority="1012" id="{70CBD596-95AD-4DDC-9DC2-64241C002811}">
            <xm:f>'SCIMP Plan'!$F$121=3</xm:f>
            <x14:dxf>
              <fill>
                <patternFill>
                  <bgColor rgb="FFC00000"/>
                </patternFill>
              </fill>
            </x14:dxf>
          </x14:cfRule>
          <x14:cfRule type="expression" priority="1013" id="{635A8010-7B81-48E9-AD0D-47BB07DE2207}">
            <xm:f>'SCIMP Plan'!$F$121=2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14" id="{F20CA795-967A-4A39-8147-C26A5F49ED3B}">
            <xm:f>'SCIMP Plan'!$F$121=1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M52</xm:sqref>
        </x14:conditionalFormatting>
        <x14:conditionalFormatting xmlns:xm="http://schemas.microsoft.com/office/excel/2006/main">
          <x14:cfRule type="expression" priority="502" id="{FC978030-9309-4C46-9257-7959CB3264CC}">
            <xm:f>'SCIMP Plan'!$F$78="W"</xm:f>
            <x14:dxf>
              <fill>
                <patternFill>
                  <bgColor rgb="FF7030A0"/>
                </patternFill>
              </fill>
            </x14:dxf>
          </x14:cfRule>
          <x14:cfRule type="expression" priority="1000" id="{E35A5C28-DEF1-4977-A7EE-230E9BC5D79E}">
            <xm:f>'SCIMP Plan'!$F$78="D"</xm:f>
            <x14:dxf>
              <fill>
                <patternFill>
                  <bgColor theme="4"/>
                </patternFill>
              </fill>
            </x14:dxf>
          </x14:cfRule>
          <x14:cfRule type="expression" priority="1001" id="{1DCF6308-7762-4927-909F-A7299ED6FB1D}">
            <xm:f>'SCIMP Plan'!$F$78=4</xm:f>
            <x14:dxf>
              <fill>
                <patternFill>
                  <bgColor theme="1"/>
                </patternFill>
              </fill>
            </x14:dxf>
          </x14:cfRule>
          <x14:cfRule type="expression" priority="1002" id="{E95D46AE-6485-4A8A-B1BB-FE31BDB9E60D}">
            <xm:f>'SCIMP Plan'!$F$78=3</xm:f>
            <x14:dxf>
              <fill>
                <patternFill>
                  <bgColor rgb="FFC00000"/>
                </patternFill>
              </fill>
            </x14:dxf>
          </x14:cfRule>
          <x14:cfRule type="expression" priority="1003" id="{6B5CD7B1-6AC2-48E7-AC7A-21E7660AF788}">
            <xm:f>'SCIMP Plan'!$F$78=2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04" id="{599C1F58-D1DC-4517-B372-2A5FC6AB1192}">
            <xm:f>'SCIMP Plan'!$F$78=1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M54</xm:sqref>
        </x14:conditionalFormatting>
        <x14:conditionalFormatting xmlns:xm="http://schemas.microsoft.com/office/excel/2006/main">
          <x14:cfRule type="expression" priority="500" id="{8A972AF0-D60E-4908-A9DB-49022B5ED91E}">
            <xm:f>'SCIMP Plan'!$F$77="W"</xm:f>
            <x14:dxf>
              <fill>
                <patternFill>
                  <bgColor rgb="FF7030A0"/>
                </patternFill>
              </fill>
            </x14:dxf>
          </x14:cfRule>
          <x14:cfRule type="expression" priority="985" id="{0643BC63-FAA7-48C3-AA65-1B0F7E3D74F7}">
            <xm:f>'SCIMP Plan'!$F$77="D"</xm:f>
            <x14:dxf>
              <fill>
                <patternFill>
                  <bgColor theme="4"/>
                </patternFill>
              </fill>
            </x14:dxf>
          </x14:cfRule>
          <x14:cfRule type="expression" priority="986" id="{60430C24-7CB3-42E7-9B78-91D57EC4BCB0}">
            <xm:f>'SCIMP Plan'!$F$77=4</xm:f>
            <x14:dxf>
              <fill>
                <patternFill>
                  <bgColor theme="1"/>
                </patternFill>
              </fill>
            </x14:dxf>
          </x14:cfRule>
          <x14:cfRule type="expression" priority="987" id="{B2B28592-4D9A-4FDA-98DC-FB22B98E6E20}">
            <xm:f>'SCIMP Plan'!$F$77=3</xm:f>
            <x14:dxf>
              <fill>
                <patternFill>
                  <bgColor rgb="FFC00000"/>
                </patternFill>
              </fill>
            </x14:dxf>
          </x14:cfRule>
          <x14:cfRule type="expression" priority="988" id="{8733EB14-B64C-4BD3-8E44-D953C26DCCAF}">
            <xm:f>'SCIMP Plan'!$F$77=2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89" id="{EA92D74B-890A-44BB-A617-D9E6287C94D6}">
            <xm:f>'SCIMP Plan'!$F$77=1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M56</xm:sqref>
        </x14:conditionalFormatting>
        <x14:conditionalFormatting xmlns:xm="http://schemas.microsoft.com/office/excel/2006/main">
          <x14:cfRule type="expression" priority="498" id="{F76FCF3B-89D1-4B12-B306-C1D1C54892B3}">
            <xm:f>'SCIMP Plan'!$F$120="W"</xm:f>
            <x14:dxf>
              <fill>
                <patternFill>
                  <bgColor rgb="FF7030A0"/>
                </patternFill>
              </fill>
            </x14:dxf>
          </x14:cfRule>
          <x14:cfRule type="expression" priority="975" id="{7FA1DBF6-F10A-4D12-8E3A-97427F56F88C}">
            <xm:f>'SCIMP Plan'!$F$120="D"</xm:f>
            <x14:dxf>
              <fill>
                <patternFill>
                  <bgColor theme="4"/>
                </patternFill>
              </fill>
            </x14:dxf>
          </x14:cfRule>
          <x14:cfRule type="expression" priority="976" id="{510AC002-03DB-4601-B66B-180EB1BA43FC}">
            <xm:f>'SCIMP Plan'!$F$120=4</xm:f>
            <x14:dxf>
              <fill>
                <patternFill>
                  <bgColor theme="1"/>
                </patternFill>
              </fill>
            </x14:dxf>
          </x14:cfRule>
          <x14:cfRule type="expression" priority="977" id="{97C5611F-09A8-439A-AE62-AA4578A98843}">
            <xm:f>'SCIMP Plan'!$F$120=3</xm:f>
            <x14:dxf>
              <fill>
                <patternFill>
                  <bgColor rgb="FFC00000"/>
                </patternFill>
              </fill>
            </x14:dxf>
          </x14:cfRule>
          <x14:cfRule type="expression" priority="978" id="{121EABE5-870A-475C-A814-425F7EC70A9F}">
            <xm:f>'SCIMP Plan'!$F$120=2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79" id="{2BE17729-4981-4422-9A76-5CCA87D465CD}">
            <xm:f>'SCIMP Plan'!$F$120=1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M58</xm:sqref>
        </x14:conditionalFormatting>
        <x14:conditionalFormatting xmlns:xm="http://schemas.microsoft.com/office/excel/2006/main">
          <x14:cfRule type="expression" priority="547" id="{60A08CCF-8037-494B-A545-068E4C82F0BE}">
            <xm:f>'SCIMP Plan'!$F$119="W"</xm:f>
            <x14:dxf>
              <fill>
                <patternFill>
                  <bgColor rgb="FF7030A0"/>
                </patternFill>
              </fill>
            </x14:dxf>
          </x14:cfRule>
          <x14:cfRule type="expression" priority="1120" id="{74F2D2F6-B4D1-485D-AC50-C2773B2A2BB7}">
            <xm:f>'SCIMP Plan'!$F$119="D"</xm:f>
            <x14:dxf>
              <fill>
                <patternFill>
                  <bgColor theme="4"/>
                </patternFill>
              </fill>
            </x14:dxf>
          </x14:cfRule>
          <x14:cfRule type="expression" priority="1121" id="{827277E2-1E0C-468B-9DDE-590B67FE81ED}">
            <xm:f>'SCIMP Plan'!$F$119=4</xm:f>
            <x14:dxf>
              <fill>
                <patternFill>
                  <bgColor theme="1"/>
                </patternFill>
              </fill>
            </x14:dxf>
          </x14:cfRule>
          <x14:cfRule type="expression" priority="1122" id="{1AE75DE9-7EC8-4F2E-BCF4-85691551083F}">
            <xm:f>'SCIMP Plan'!$F$119=3</xm:f>
            <x14:dxf>
              <fill>
                <patternFill>
                  <bgColor rgb="FFC00000"/>
                </patternFill>
              </fill>
            </x14:dxf>
          </x14:cfRule>
          <x14:cfRule type="expression" priority="1123" id="{16B8361B-A4A3-4D1D-97F4-7D6AD560E7CD}">
            <xm:f>'SCIMP Plan'!$F$119=2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24" id="{5F2F15C2-2DF4-4374-99D2-ED1119002297}">
            <xm:f>'SCIMP Plan'!$F$119=1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P12</xm:sqref>
        </x14:conditionalFormatting>
        <x14:conditionalFormatting xmlns:xm="http://schemas.microsoft.com/office/excel/2006/main">
          <x14:cfRule type="expression" priority="320" id="{D93ECBD2-0445-411C-A41F-C2083940D51F}">
            <xm:f>'SCIMP Plan'!$F$123="W"</xm:f>
            <x14:dxf>
              <fill>
                <patternFill>
                  <bgColor rgb="FF7030A0"/>
                </patternFill>
              </fill>
            </x14:dxf>
          </x14:cfRule>
          <x14:cfRule type="expression" priority="321" id="{421A3261-3D78-4F46-9260-B9F3CB44419F}">
            <xm:f>'SCIMP Plan'!$F$123="D"</xm:f>
            <x14:dxf>
              <fill>
                <patternFill>
                  <bgColor theme="4"/>
                </patternFill>
              </fill>
            </x14:dxf>
          </x14:cfRule>
          <x14:cfRule type="expression" priority="322" id="{6211C6A7-B922-4947-9395-0707304CA887}">
            <xm:f>'SCIMP Plan'!$F$123=4</xm:f>
            <x14:dxf>
              <fill>
                <patternFill>
                  <bgColor theme="1"/>
                </patternFill>
              </fill>
            </x14:dxf>
          </x14:cfRule>
          <x14:cfRule type="expression" priority="323" id="{D9EC2334-3A08-43E0-9961-ABFA2E6EE2F0}">
            <xm:f>'SCIMP Plan'!$F$123=3</xm:f>
            <x14:dxf>
              <fill>
                <patternFill>
                  <bgColor rgb="FFC00000"/>
                </patternFill>
              </fill>
            </x14:dxf>
          </x14:cfRule>
          <x14:cfRule type="expression" priority="324" id="{0161FFD4-238C-445E-9AA6-00E0A5483E64}">
            <xm:f>'SCIMP Plan'!$F$123=2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25" id="{CF6A9DD3-7404-4555-A9C0-5BD2574EE68C}">
            <xm:f>'SCIMP Plan'!$F$123=1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P14</xm:sqref>
        </x14:conditionalFormatting>
        <x14:conditionalFormatting xmlns:xm="http://schemas.microsoft.com/office/excel/2006/main">
          <x14:cfRule type="expression" priority="308" id="{28AE07C0-CFC9-40D4-A860-D95F754F206B}">
            <xm:f>'SCIMP Plan'!$F$93="W"</xm:f>
            <x14:dxf>
              <fill>
                <patternFill>
                  <bgColor rgb="FF7030A0"/>
                </patternFill>
              </fill>
            </x14:dxf>
          </x14:cfRule>
          <x14:cfRule type="expression" priority="309" id="{3972A74D-BEE0-4387-B437-69BCBF450686}">
            <xm:f>'SCIMP Plan'!$F$93="D"</xm:f>
            <x14:dxf>
              <fill>
                <patternFill>
                  <bgColor theme="4"/>
                </patternFill>
              </fill>
            </x14:dxf>
          </x14:cfRule>
          <x14:cfRule type="expression" priority="310" id="{215E77FA-A7E4-4F29-8545-61D031B175A5}">
            <xm:f>'SCIMP Plan'!$F$93=4</xm:f>
            <x14:dxf>
              <fill>
                <patternFill>
                  <bgColor theme="1"/>
                </patternFill>
              </fill>
            </x14:dxf>
          </x14:cfRule>
          <x14:cfRule type="expression" priority="311" id="{492E423A-19D2-4892-9211-61DF35679DB2}">
            <xm:f>'SCIMP Plan'!$F$93=3</xm:f>
            <x14:dxf>
              <fill>
                <patternFill>
                  <bgColor rgb="FFC00000"/>
                </patternFill>
              </fill>
            </x14:dxf>
          </x14:cfRule>
          <x14:cfRule type="expression" priority="312" id="{DDDA52F6-73D5-405E-A993-49553FC39AED}">
            <xm:f>'SCIMP Plan'!$F$93=2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13" id="{413929B1-1ADD-4DBB-B18C-486B3EFD2EA2}">
            <xm:f>'SCIMP Plan'!$F$93=1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P16</xm:sqref>
        </x14:conditionalFormatting>
        <x14:conditionalFormatting xmlns:xm="http://schemas.microsoft.com/office/excel/2006/main">
          <x14:cfRule type="expression" priority="302" id="{8FE8F5B6-476F-48A8-8CAF-D0EC6250B002}">
            <xm:f>'SCIMP Plan'!$F$88="W"</xm:f>
            <x14:dxf>
              <fill>
                <patternFill>
                  <bgColor rgb="FF7030A0"/>
                </patternFill>
              </fill>
            </x14:dxf>
          </x14:cfRule>
          <x14:cfRule type="expression" priority="303" id="{802475F1-0305-4BDE-91CE-DB52E6E2E5D5}">
            <xm:f>'SCIMP Plan'!$F$88="D"</xm:f>
            <x14:dxf>
              <fill>
                <patternFill>
                  <bgColor theme="4"/>
                </patternFill>
              </fill>
            </x14:dxf>
          </x14:cfRule>
          <x14:cfRule type="expression" priority="304" id="{6F21179C-9BF6-45AC-8B90-FD026643C1DD}">
            <xm:f>'SCIMP Plan'!$F$88=4</xm:f>
            <x14:dxf>
              <fill>
                <patternFill>
                  <bgColor theme="1"/>
                </patternFill>
              </fill>
            </x14:dxf>
          </x14:cfRule>
          <x14:cfRule type="expression" priority="305" id="{5EC01906-CB59-44D0-BE66-7CD86DE2C759}">
            <xm:f>'SCIMP Plan'!$F$88=3</xm:f>
            <x14:dxf>
              <fill>
                <patternFill>
                  <bgColor rgb="FFC00000"/>
                </patternFill>
              </fill>
            </x14:dxf>
          </x14:cfRule>
          <x14:cfRule type="expression" priority="306" id="{43380FB0-DBF1-46AD-B462-00AE288A5398}">
            <xm:f>'SCIMP Plan'!$F$88=2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07" id="{55F0A20B-395F-4B1C-B4C5-6DE7677E1FE7}">
            <xm:f>'SCIMP Plan'!$F$88=1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P31</xm:sqref>
        </x14:conditionalFormatting>
        <x14:conditionalFormatting xmlns:xm="http://schemas.microsoft.com/office/excel/2006/main">
          <x14:cfRule type="expression" priority="296" id="{4E164FA6-DC57-4EC6-9F88-9FFA51510E0E}">
            <xm:f>'SCIMP Plan'!$F$89="W"</xm:f>
            <x14:dxf>
              <fill>
                <patternFill>
                  <bgColor rgb="FF7030A0"/>
                </patternFill>
              </fill>
            </x14:dxf>
          </x14:cfRule>
          <x14:cfRule type="expression" priority="297" id="{3E394037-2387-49EB-8467-2A5A4729085C}">
            <xm:f>'SCIMP Plan'!$F$89="D"</xm:f>
            <x14:dxf>
              <fill>
                <patternFill>
                  <bgColor theme="4"/>
                </patternFill>
              </fill>
            </x14:dxf>
          </x14:cfRule>
          <x14:cfRule type="expression" priority="298" id="{1171D947-9DAF-4402-9123-3FA96451ABC8}">
            <xm:f>'SCIMP Plan'!$F$89=4</xm:f>
            <x14:dxf>
              <fill>
                <patternFill>
                  <bgColor theme="1"/>
                </patternFill>
              </fill>
            </x14:dxf>
          </x14:cfRule>
          <x14:cfRule type="expression" priority="299" id="{9B2710B2-5B1D-4E3F-9FF8-70BA67D1A3C6}">
            <xm:f>'SCIMP Plan'!$F$89=3</xm:f>
            <x14:dxf>
              <fill>
                <patternFill>
                  <bgColor rgb="FFC00000"/>
                </patternFill>
              </fill>
            </x14:dxf>
          </x14:cfRule>
          <x14:cfRule type="expression" priority="300" id="{07D71A69-653D-4DC0-A8AF-24FDEC4477E3}">
            <xm:f>'SCIMP Plan'!$F$89=2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01" id="{3FE474B5-D968-4998-A28F-CFF927ADC67F}">
            <xm:f>'SCIMP Plan'!$F$89=1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P33</xm:sqref>
        </x14:conditionalFormatting>
        <x14:conditionalFormatting xmlns:xm="http://schemas.microsoft.com/office/excel/2006/main">
          <x14:cfRule type="expression" priority="531" id="{646C2299-A3EE-4A59-9713-A3C0B2D5CF65}">
            <xm:f>'SCIMP Plan'!$F$116="W"</xm:f>
            <x14:dxf>
              <fill>
                <patternFill>
                  <bgColor rgb="FF7030A0"/>
                </patternFill>
              </fill>
            </x14:dxf>
          </x14:cfRule>
          <x14:cfRule type="expression" priority="1050" id="{ED363A06-8917-49F2-9A39-36D392049236}">
            <xm:f>'SCIMP Plan'!$F$116="D"</xm:f>
            <x14:dxf>
              <fill>
                <patternFill>
                  <bgColor theme="4"/>
                </patternFill>
              </fill>
            </x14:dxf>
          </x14:cfRule>
          <x14:cfRule type="expression" priority="1051" id="{6B2C9637-FF86-40AB-A9B2-273B60DA95EB}">
            <xm:f>'SCIMP Plan'!$F$116=4</xm:f>
            <x14:dxf>
              <fill>
                <patternFill>
                  <bgColor theme="1"/>
                </patternFill>
              </fill>
            </x14:dxf>
          </x14:cfRule>
          <x14:cfRule type="expression" priority="1052" id="{FE5C4AED-0611-4DC0-9A0C-9440B561B55F}">
            <xm:f>'SCIMP Plan'!$F$116=3</xm:f>
            <x14:dxf>
              <fill>
                <patternFill>
                  <bgColor rgb="FFC00000"/>
                </patternFill>
              </fill>
            </x14:dxf>
          </x14:cfRule>
          <x14:cfRule type="expression" priority="1053" id="{1158C411-67B5-4908-891D-4E1EA45B0477}">
            <xm:f>'SCIMP Plan'!$F$116=2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54" id="{94A28DF7-382F-467B-BD9B-055B060BBD28}">
            <xm:f>'SCIMP Plan'!$F$116=1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P35</xm:sqref>
        </x14:conditionalFormatting>
        <x14:conditionalFormatting xmlns:xm="http://schemas.microsoft.com/office/excel/2006/main">
          <x14:cfRule type="expression" priority="529" id="{6D52F2B1-E713-499B-897F-24282D72CD7C}">
            <xm:f>'SCIMP Plan'!$F$99="W"</xm:f>
            <x14:dxf>
              <fill>
                <patternFill>
                  <bgColor rgb="FF7030A0"/>
                </patternFill>
              </fill>
            </x14:dxf>
          </x14:cfRule>
          <x14:cfRule type="expression" priority="1060" id="{026D3686-EBBD-4CE4-A638-CB5339A32E86}">
            <xm:f>'SCIMP Plan'!$F$99="D"</xm:f>
            <x14:dxf>
              <fill>
                <patternFill>
                  <bgColor theme="4"/>
                </patternFill>
              </fill>
            </x14:dxf>
          </x14:cfRule>
          <x14:cfRule type="expression" priority="1061" id="{5988C76B-4F06-4FDE-98C1-A3DFACDC6060}">
            <xm:f>'SCIMP Plan'!$F$99=4</xm:f>
            <x14:dxf>
              <fill>
                <patternFill>
                  <bgColor theme="1"/>
                </patternFill>
              </fill>
            </x14:dxf>
          </x14:cfRule>
          <x14:cfRule type="expression" priority="1062" id="{3CFF6632-E679-404B-B4B7-674BED0A0C0A}">
            <xm:f>'SCIMP Plan'!$F$99=3</xm:f>
            <x14:dxf>
              <fill>
                <patternFill>
                  <bgColor rgb="FFC00000"/>
                </patternFill>
              </fill>
            </x14:dxf>
          </x14:cfRule>
          <x14:cfRule type="expression" priority="1063" id="{5DD9F623-19A0-4AE6-AC32-7BA09FE522DE}">
            <xm:f>'SCIMP Plan'!$F$99=2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64" id="{69B4938D-B4DA-4A6B-849C-B74441DB16A7}">
            <xm:f>'SCIMP Plan'!$F$99=1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P37</xm:sqref>
        </x14:conditionalFormatting>
        <x14:conditionalFormatting xmlns:xm="http://schemas.microsoft.com/office/excel/2006/main">
          <x14:cfRule type="expression" priority="1792" id="{FD9675B0-447E-4F1A-8C01-11025E625D03}">
            <xm:f>'SCIMP Plan'!$F$84="W"</xm:f>
            <x14:dxf>
              <fill>
                <patternFill>
                  <bgColor rgb="FF7030A0"/>
                </patternFill>
              </fill>
            </x14:dxf>
          </x14:cfRule>
          <x14:cfRule type="expression" priority="1793" id="{D143AFCE-7747-4CCD-92D7-9E9255945BF5}">
            <xm:f>'SCIMP Plan'!$F$84="D"</xm:f>
            <x14:dxf>
              <fill>
                <patternFill>
                  <bgColor theme="4"/>
                </patternFill>
              </fill>
            </x14:dxf>
          </x14:cfRule>
          <x14:cfRule type="expression" priority="1794" id="{1BF9FF50-83B3-45F1-8577-1F369ABADB47}">
            <xm:f>'SCIMP Plan'!$F$84=4</xm:f>
            <x14:dxf>
              <fill>
                <patternFill>
                  <bgColor theme="1"/>
                </patternFill>
              </fill>
            </x14:dxf>
          </x14:cfRule>
          <x14:cfRule type="expression" priority="1795" id="{28A1288E-9FED-4B2D-BEC7-AE25A5EF6CBE}">
            <xm:f>'SCIMP Plan'!$F$84=3</xm:f>
            <x14:dxf>
              <fill>
                <patternFill>
                  <bgColor rgb="FFC00000"/>
                </patternFill>
              </fill>
            </x14:dxf>
          </x14:cfRule>
          <x14:cfRule type="expression" priority="1796" id="{9CBCD900-ED49-4051-A803-08B805D87A5C}">
            <xm:f>'SCIMP Plan'!$F$84=2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97" id="{50C11A2A-0F64-400F-B548-745FC194973B}">
            <xm:f>'SCIMP Plan'!$F$84=1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P39</xm:sqref>
        </x14:conditionalFormatting>
        <x14:conditionalFormatting xmlns:xm="http://schemas.microsoft.com/office/excel/2006/main">
          <x14:cfRule type="expression" priority="525" id="{1D7BFAD5-9344-4DAE-80E3-A459AA2D94CD}">
            <xm:f>'SCIMP Plan'!$F$101="W"</xm:f>
            <x14:dxf>
              <fill>
                <patternFill>
                  <bgColor rgb="FF7030A0"/>
                </patternFill>
              </fill>
            </x14:dxf>
          </x14:cfRule>
          <x14:cfRule type="expression" priority="1085" id="{FA0A0A24-C8DA-497A-8282-CFAA886A99B5}">
            <xm:f>'SCIMP Plan'!$F$101="D"</xm:f>
            <x14:dxf>
              <fill>
                <patternFill>
                  <bgColor theme="4"/>
                </patternFill>
              </fill>
            </x14:dxf>
          </x14:cfRule>
          <x14:cfRule type="expression" priority="1086" id="{724F45C4-9D87-46F8-B15B-782939CA49CC}">
            <xm:f>'SCIMP Plan'!$F$101=4</xm:f>
            <x14:dxf>
              <fill>
                <patternFill>
                  <bgColor theme="1"/>
                </patternFill>
              </fill>
            </x14:dxf>
          </x14:cfRule>
          <x14:cfRule type="expression" priority="1087" id="{07C50DEE-FCFA-4A1F-9791-6719446EF31B}">
            <xm:f>'SCIMP Plan'!$F$101=3</xm:f>
            <x14:dxf>
              <fill>
                <patternFill>
                  <bgColor rgb="FFC00000"/>
                </patternFill>
              </fill>
            </x14:dxf>
          </x14:cfRule>
          <x14:cfRule type="expression" priority="1088" id="{556B9D66-F0E0-4298-864E-547C2887B89D}">
            <xm:f>'SCIMP Plan'!$F$101=2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89" id="{4EF796B3-2815-4F3C-9C85-475C50E53389}">
            <xm:f>'SCIMP Plan'!$F$101=1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P41</xm:sqref>
        </x14:conditionalFormatting>
        <x14:conditionalFormatting xmlns:xm="http://schemas.microsoft.com/office/excel/2006/main">
          <x14:cfRule type="expression" priority="290" id="{78DC9C2F-716E-4D8E-86EA-83DB769AC32D}">
            <xm:f>'SCIMP Plan'!$F$92="W"</xm:f>
            <x14:dxf>
              <fill>
                <patternFill>
                  <bgColor rgb="FF7030A0"/>
                </patternFill>
              </fill>
            </x14:dxf>
          </x14:cfRule>
          <x14:cfRule type="expression" priority="291" id="{8705FEA5-2858-4D31-9D25-26E5941B3BA4}">
            <xm:f>'SCIMP Plan'!$F$92="D"</xm:f>
            <x14:dxf>
              <fill>
                <patternFill>
                  <bgColor theme="4"/>
                </patternFill>
              </fill>
            </x14:dxf>
          </x14:cfRule>
          <x14:cfRule type="expression" priority="292" id="{B3D72447-BC01-4CED-9D13-C27756F98790}">
            <xm:f>'SCIMP Plan'!$F$92=4</xm:f>
            <x14:dxf>
              <fill>
                <patternFill>
                  <bgColor theme="1"/>
                </patternFill>
              </fill>
            </x14:dxf>
          </x14:cfRule>
          <x14:cfRule type="expression" priority="293" id="{3D958FE0-64F4-4D07-822F-D215FDAFB8A1}">
            <xm:f>'SCIMP Plan'!$F$92=3</xm:f>
            <x14:dxf>
              <fill>
                <patternFill>
                  <bgColor rgb="FFC00000"/>
                </patternFill>
              </fill>
            </x14:dxf>
          </x14:cfRule>
          <x14:cfRule type="expression" priority="294" id="{7ECA4B38-19A3-41F8-9275-4F493EF1F77B}">
            <xm:f>'SCIMP Plan'!$F$92=2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95" id="{1343CDC3-1CB2-4253-8FD9-B3A0CADA37CB}">
            <xm:f>'SCIMP Plan'!$F$92=1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P43</xm:sqref>
        </x14:conditionalFormatting>
        <x14:conditionalFormatting xmlns:xm="http://schemas.microsoft.com/office/excel/2006/main">
          <x14:cfRule type="expression" priority="1822" id="{7AA65B48-5D4C-4131-88E1-109B79D6A4F2}">
            <xm:f>'SCIMP Plan'!$F$109="W"</xm:f>
            <x14:dxf>
              <fill>
                <patternFill>
                  <bgColor rgb="FF7030A0"/>
                </patternFill>
              </fill>
            </x14:dxf>
          </x14:cfRule>
          <x14:cfRule type="expression" priority="1823" id="{9F94C5A6-5FCA-426F-A595-42DB6D8AA397}">
            <xm:f>'SCIMP Plan'!$F$109="D"</xm:f>
            <x14:dxf>
              <fill>
                <patternFill>
                  <bgColor theme="4"/>
                </patternFill>
              </fill>
            </x14:dxf>
          </x14:cfRule>
          <x14:cfRule type="expression" priority="1824" id="{C862DF9D-5938-43D1-95CD-0B7AD2490AED}">
            <xm:f>'SCIMP Plan'!$F$109=4</xm:f>
            <x14:dxf>
              <fill>
                <patternFill>
                  <bgColor theme="1"/>
                </patternFill>
              </fill>
            </x14:dxf>
          </x14:cfRule>
          <x14:cfRule type="expression" priority="1825" id="{8E4A2530-5778-4B78-8939-8798E31B825B}">
            <xm:f>'SCIMP Plan'!$F$109=3</xm:f>
            <x14:dxf>
              <fill>
                <patternFill>
                  <bgColor rgb="FFC00000"/>
                </patternFill>
              </fill>
            </x14:dxf>
          </x14:cfRule>
          <x14:cfRule type="expression" priority="1826" id="{0EE18CB8-2337-4EBE-B09C-714655D8D946}">
            <xm:f>'SCIMP Plan'!$F$109=2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27" id="{6FD902C3-0D4F-4AEA-A202-B12E050AC5F2}">
            <xm:f>'SCIMP Plan'!$F$109=1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P45</xm:sqref>
        </x14:conditionalFormatting>
        <x14:conditionalFormatting xmlns:xm="http://schemas.microsoft.com/office/excel/2006/main">
          <x14:cfRule type="expression" priority="507" id="{EC1AF3FB-F6B4-4B94-8634-CAD61802C3A7}">
            <xm:f>'SCIMP Plan'!$F$106="W"</xm:f>
            <x14:dxf>
              <fill>
                <patternFill>
                  <bgColor rgb="FF7030A0"/>
                </patternFill>
              </fill>
            </x14:dxf>
          </x14:cfRule>
          <x14:cfRule type="expression" priority="1025" id="{E08E8277-DCC7-4D30-B42B-0004DC8E200C}">
            <xm:f>'SCIMP Plan'!$F$106="D"</xm:f>
            <x14:dxf>
              <fill>
                <patternFill>
                  <bgColor theme="4"/>
                </patternFill>
              </fill>
            </x14:dxf>
          </x14:cfRule>
          <x14:cfRule type="expression" priority="1026" id="{81EF0FF4-43F9-4213-9762-23170A80449B}">
            <xm:f>'SCIMP Plan'!$F$106=4</xm:f>
            <x14:dxf>
              <fill>
                <patternFill>
                  <bgColor theme="1"/>
                </patternFill>
              </fill>
            </x14:dxf>
          </x14:cfRule>
          <x14:cfRule type="expression" priority="1027" id="{8EF40FF2-03E3-4E13-8D50-3CAB8C9E97FA}">
            <xm:f>'SCIMP Plan'!$F$106=3</xm:f>
            <x14:dxf>
              <fill>
                <patternFill>
                  <bgColor rgb="FFC00000"/>
                </patternFill>
              </fill>
            </x14:dxf>
          </x14:cfRule>
          <x14:cfRule type="expression" priority="1028" id="{0CB496FE-DD4E-4356-9AE9-B5E4BD3476D7}">
            <xm:f>'SCIMP Plan'!$F$106=2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29" id="{75DC7C43-4DE3-4E76-AA95-CDFA54F22626}">
            <xm:f>'SCIMP Plan'!$F$106=1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P48</xm:sqref>
        </x14:conditionalFormatting>
        <x14:conditionalFormatting xmlns:xm="http://schemas.microsoft.com/office/excel/2006/main">
          <x14:cfRule type="expression" priority="505" id="{0BF94F96-274B-4B36-815D-6909F77321D0}">
            <xm:f>'SCIMP Plan'!$F$115="W"</xm:f>
            <x14:dxf>
              <fill>
                <patternFill>
                  <bgColor rgb="FF7030A0"/>
                </patternFill>
              </fill>
            </x14:dxf>
          </x14:cfRule>
          <x14:cfRule type="expression" priority="1015" id="{7BB6F616-5B31-4609-A8A6-6BCF40AF75F7}">
            <xm:f>'SCIMP Plan'!$F$115="D"</xm:f>
            <x14:dxf>
              <fill>
                <patternFill>
                  <bgColor theme="4"/>
                </patternFill>
              </fill>
            </x14:dxf>
          </x14:cfRule>
          <x14:cfRule type="expression" priority="1016" id="{C762F100-0100-465D-BFA5-0CC43D8B968C}">
            <xm:f>'SCIMP Plan'!$F$115=4</xm:f>
            <x14:dxf>
              <fill>
                <patternFill>
                  <bgColor theme="1"/>
                </patternFill>
              </fill>
            </x14:dxf>
          </x14:cfRule>
          <x14:cfRule type="expression" priority="1017" id="{8E156D74-FC34-4E4A-8FFC-722EFE012E82}">
            <xm:f>'SCIMP Plan'!$F$115=3</xm:f>
            <x14:dxf>
              <fill>
                <patternFill>
                  <bgColor rgb="FFC00000"/>
                </patternFill>
              </fill>
            </x14:dxf>
          </x14:cfRule>
          <x14:cfRule type="expression" priority="1018" id="{388C6E15-3BD6-4A45-B057-74A2A36C9F38}">
            <xm:f>'SCIMP Plan'!$F$115=2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19" id="{3A324C4A-615B-44E7-AF39-17E0D9D50FFE}">
            <xm:f>'SCIMP Plan'!$F$115=1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P50</xm:sqref>
        </x14:conditionalFormatting>
        <x14:conditionalFormatting xmlns:xm="http://schemas.microsoft.com/office/excel/2006/main">
          <x14:cfRule type="expression" priority="503" id="{5DCC9311-5E3E-4306-8E38-0C6A926D1835}">
            <xm:f>'SCIMP Plan'!$F$122="W"</xm:f>
            <x14:dxf>
              <fill>
                <patternFill>
                  <bgColor rgb="FF7030A0"/>
                </patternFill>
              </fill>
            </x14:dxf>
          </x14:cfRule>
          <x14:cfRule type="expression" priority="1005" id="{0AB7CC69-AE2B-491A-8861-B0F12904828A}">
            <xm:f>'SCIMP Plan'!$F$122="D"</xm:f>
            <x14:dxf>
              <fill>
                <patternFill>
                  <bgColor theme="4"/>
                </patternFill>
              </fill>
            </x14:dxf>
          </x14:cfRule>
          <x14:cfRule type="expression" priority="1006" id="{E7C2BB96-1F5B-4087-86EE-E7889FFCB937}">
            <xm:f>'SCIMP Plan'!$F$122=4</xm:f>
            <x14:dxf>
              <fill>
                <patternFill>
                  <bgColor theme="1"/>
                </patternFill>
              </fill>
            </x14:dxf>
          </x14:cfRule>
          <x14:cfRule type="expression" priority="1007" id="{76E5ED20-B3AB-4877-9066-9C1A1B7B81A3}">
            <xm:f>'SCIMP Plan'!$F$122=3</xm:f>
            <x14:dxf>
              <fill>
                <patternFill>
                  <bgColor rgb="FFC00000"/>
                </patternFill>
              </fill>
            </x14:dxf>
          </x14:cfRule>
          <x14:cfRule type="expression" priority="1008" id="{A6B680B1-01A6-4668-AD81-78EA57F36C6C}">
            <xm:f>'SCIMP Plan'!$F$122=2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09" id="{6678FF4F-A7FA-4ABE-853E-C95C586F84C8}">
            <xm:f>'SCIMP Plan'!$F$122=1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P52</xm:sqref>
        </x14:conditionalFormatting>
        <x14:conditionalFormatting xmlns:xm="http://schemas.microsoft.com/office/excel/2006/main">
          <x14:cfRule type="expression" priority="501" id="{EFB3E526-CD30-4FF9-B92E-C8ADFF049C53}">
            <xm:f>'SCIMP Plan'!$F$77="W"</xm:f>
            <x14:dxf>
              <fill>
                <patternFill>
                  <bgColor rgb="FF7030A0"/>
                </patternFill>
              </fill>
            </x14:dxf>
          </x14:cfRule>
          <x14:cfRule type="expression" priority="995" id="{D58C536A-B3F8-4082-AD7C-062E8A000B7D}">
            <xm:f>'SCIMP Plan'!$F$77="D"</xm:f>
            <x14:dxf>
              <fill>
                <patternFill>
                  <bgColor theme="4"/>
                </patternFill>
              </fill>
            </x14:dxf>
          </x14:cfRule>
          <x14:cfRule type="expression" priority="996" id="{E3D9D863-26E3-4FC5-A363-FAD033A802DE}">
            <xm:f>'SCIMP Plan'!$F$77=4</xm:f>
            <x14:dxf>
              <fill>
                <patternFill>
                  <bgColor theme="1"/>
                </patternFill>
              </fill>
            </x14:dxf>
          </x14:cfRule>
          <x14:cfRule type="expression" priority="997" id="{FA98D68F-0231-405A-B1A4-7F3BFC80FA60}">
            <xm:f>'SCIMP Plan'!$F$77=3</xm:f>
            <x14:dxf>
              <fill>
                <patternFill>
                  <bgColor rgb="FFC00000"/>
                </patternFill>
              </fill>
            </x14:dxf>
          </x14:cfRule>
          <x14:cfRule type="expression" priority="998" id="{EB6E1FB9-97A6-4E56-8215-6C046382B5F7}">
            <xm:f>'SCIMP Plan'!$F$77=2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99" id="{F4CB7EFE-10FB-41B6-A79D-0B53AC4405E3}">
            <xm:f>'SCIMP Plan'!$F$77=1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P54</xm:sqref>
        </x14:conditionalFormatting>
        <x14:conditionalFormatting xmlns:xm="http://schemas.microsoft.com/office/excel/2006/main">
          <x14:cfRule type="expression" priority="499" id="{CC078CB1-3D70-4E19-BDE9-FECE6579CED0}">
            <xm:f>'SCIMP Plan'!$F$79="W"</xm:f>
            <x14:dxf>
              <fill>
                <patternFill>
                  <bgColor rgb="FF7030A0"/>
                </patternFill>
              </fill>
            </x14:dxf>
          </x14:cfRule>
          <x14:cfRule type="expression" priority="980" id="{257ED29C-17FA-4AD3-BAE5-397EC8C5F3B6}">
            <xm:f>'SCIMP Plan'!$F$79="D"</xm:f>
            <x14:dxf>
              <fill>
                <patternFill>
                  <bgColor theme="4"/>
                </patternFill>
              </fill>
            </x14:dxf>
          </x14:cfRule>
          <x14:cfRule type="expression" priority="981" id="{F4792D36-151F-4322-8590-55FC779691FE}">
            <xm:f>'SCIMP Plan'!$F$79=4</xm:f>
            <x14:dxf>
              <fill>
                <patternFill>
                  <bgColor theme="1"/>
                </patternFill>
              </fill>
            </x14:dxf>
          </x14:cfRule>
          <x14:cfRule type="expression" priority="982" id="{C8090A5D-3FE6-4566-B897-481E95A643C5}">
            <xm:f>'SCIMP Plan'!$F$79=3</xm:f>
            <x14:dxf>
              <fill>
                <patternFill>
                  <bgColor rgb="FFC00000"/>
                </patternFill>
              </fill>
            </x14:dxf>
          </x14:cfRule>
          <x14:cfRule type="expression" priority="983" id="{54CC7869-9578-4505-BC61-424811F7BAFF}">
            <xm:f>'SCIMP Plan'!$F$79=2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84" id="{111BDB3F-488C-48FD-9F7D-DA3A03172AF4}">
            <xm:f>'SCIMP Plan'!$F$79=1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P56</xm:sqref>
        </x14:conditionalFormatting>
        <x14:conditionalFormatting xmlns:xm="http://schemas.microsoft.com/office/excel/2006/main">
          <x14:cfRule type="expression" priority="368" id="{2DF82284-E564-4989-AA16-2E8705FE7A89}">
            <xm:f>'SCIMP Plan'!$F$80="W"</xm:f>
            <x14:dxf>
              <fill>
                <patternFill>
                  <bgColor rgb="FF7030A0"/>
                </patternFill>
              </fill>
            </x14:dxf>
          </x14:cfRule>
          <x14:cfRule type="expression" priority="369" id="{444247F5-36C3-42D4-AC9D-50F9F44F45A6}">
            <xm:f>'SCIMP Plan'!$F$80="D"</xm:f>
            <x14:dxf>
              <fill>
                <patternFill>
                  <bgColor theme="4"/>
                </patternFill>
              </fill>
            </x14:dxf>
          </x14:cfRule>
          <x14:cfRule type="expression" priority="370" id="{06965679-1972-42B4-B937-0836119B29B5}">
            <xm:f>'SCIMP Plan'!$F$80=4</xm:f>
            <x14:dxf>
              <fill>
                <patternFill>
                  <bgColor theme="1"/>
                </patternFill>
              </fill>
            </x14:dxf>
          </x14:cfRule>
          <x14:cfRule type="expression" priority="371" id="{54CE6291-0D76-4ABE-ACC8-3B08435D887F}">
            <xm:f>'SCIMP Plan'!$F$80=3</xm:f>
            <x14:dxf>
              <fill>
                <patternFill>
                  <bgColor rgb="FFC00000"/>
                </patternFill>
              </fill>
            </x14:dxf>
          </x14:cfRule>
          <x14:cfRule type="expression" priority="372" id="{09966ED6-0AE1-480C-8BCF-068D4098055D}">
            <xm:f>'SCIMP Plan'!$F$80=2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73" id="{CE412B66-707C-431A-AEBD-664461F96334}">
            <xm:f>'SCIMP Plan'!$F$80=1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P58</xm:sqref>
        </x14:conditionalFormatting>
        <x14:conditionalFormatting xmlns:xm="http://schemas.microsoft.com/office/excel/2006/main">
          <x14:cfRule type="expression" priority="31" id="{C2D7B3FC-4599-4E11-A373-668A7BF7391C}">
            <xm:f>'SCIMP Plan'!$F$182="W"</xm:f>
            <x14:dxf>
              <fill>
                <patternFill>
                  <bgColor rgb="FF7030A0"/>
                </patternFill>
              </fill>
            </x14:dxf>
          </x14:cfRule>
          <x14:cfRule type="expression" priority="32" id="{63DE0AF6-86F7-49F4-91C8-F5AD37A2F35A}">
            <xm:f>'SCIMP Plan'!$F$182="D"</xm:f>
            <x14:dxf>
              <fill>
                <patternFill>
                  <bgColor theme="4"/>
                </patternFill>
              </fill>
            </x14:dxf>
          </x14:cfRule>
          <x14:cfRule type="expression" priority="33" id="{D40F2393-9E71-42DE-B393-04032BC39662}">
            <xm:f>'SCIMP Plan'!$F$182=4</xm:f>
            <x14:dxf>
              <fill>
                <patternFill>
                  <bgColor theme="1"/>
                </patternFill>
              </fill>
            </x14:dxf>
          </x14:cfRule>
          <x14:cfRule type="expression" priority="34" id="{02C3671C-A638-402D-876F-6C7864ACC85B}">
            <xm:f>'SCIMP Plan'!$F$182=3</xm:f>
            <x14:dxf>
              <fill>
                <patternFill>
                  <bgColor rgb="FFC00000"/>
                </patternFill>
              </fill>
            </x14:dxf>
          </x14:cfRule>
          <x14:cfRule type="expression" priority="35" id="{A01EF2FD-0754-4AB8-8DFB-99BA442421C9}">
            <xm:f>'SCIMP Plan'!$F$182=2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6" id="{BA8F5C83-032D-4CA8-BCE8-63582185BF56}">
            <xm:f>'SCIMP Plan'!$F$182=1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T12</xm:sqref>
        </x14:conditionalFormatting>
        <x14:conditionalFormatting xmlns:xm="http://schemas.microsoft.com/office/excel/2006/main">
          <x14:cfRule type="expression" priority="43" id="{8739370E-662F-4D45-BDDB-603A03509B23}">
            <xm:f>'SCIMP Plan'!$F$142="W"</xm:f>
            <x14:dxf>
              <fill>
                <patternFill>
                  <bgColor rgb="FF7030A0"/>
                </patternFill>
              </fill>
            </x14:dxf>
          </x14:cfRule>
          <x14:cfRule type="expression" priority="44" id="{DB2A5B38-ECAF-441A-96BB-A58F6F847CDE}">
            <xm:f>'SCIMP Plan'!$F$142="D"</xm:f>
            <x14:dxf>
              <fill>
                <patternFill>
                  <bgColor theme="4"/>
                </patternFill>
              </fill>
            </x14:dxf>
          </x14:cfRule>
          <x14:cfRule type="expression" priority="45" id="{D8C119A1-FAFE-4EAF-8F6D-066B7BEAC7C0}">
            <xm:f>'SCIMP Plan'!$F$142=4</xm:f>
            <x14:dxf>
              <fill>
                <patternFill>
                  <bgColor theme="1"/>
                </patternFill>
              </fill>
            </x14:dxf>
          </x14:cfRule>
          <x14:cfRule type="expression" priority="46" id="{B8888CD9-AA09-4EDC-9D4A-D19C33169928}">
            <xm:f>'SCIMP Plan'!$F$142=3</xm:f>
            <x14:dxf>
              <fill>
                <patternFill>
                  <bgColor rgb="FFC00000"/>
                </patternFill>
              </fill>
            </x14:dxf>
          </x14:cfRule>
          <x14:cfRule type="expression" priority="47" id="{E1C5F8A3-BA92-40C6-B4F8-C606B9591A39}">
            <xm:f>'SCIMP Plan'!$F$142=2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8" id="{F8CE7FCA-CB71-4536-9BCE-84AFC7B24AE0}">
            <xm:f>'SCIMP Plan'!$F$142=1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T14</xm:sqref>
        </x14:conditionalFormatting>
        <x14:conditionalFormatting xmlns:xm="http://schemas.microsoft.com/office/excel/2006/main">
          <x14:cfRule type="expression" priority="55" id="{70BD5ED2-478A-4AF6-AEDC-006669A67034}">
            <xm:f>'SCIMP Plan'!$F$144="W"</xm:f>
            <x14:dxf>
              <fill>
                <patternFill>
                  <bgColor rgb="FF7030A0"/>
                </patternFill>
              </fill>
            </x14:dxf>
          </x14:cfRule>
          <x14:cfRule type="expression" priority="56" id="{6D2813CF-D411-4C10-AEA2-BE048034BBDA}">
            <xm:f>'SCIMP Plan'!$F$144="D"</xm:f>
            <x14:dxf>
              <fill>
                <patternFill>
                  <bgColor theme="4"/>
                </patternFill>
              </fill>
            </x14:dxf>
          </x14:cfRule>
          <x14:cfRule type="expression" priority="57" id="{C994B2BD-8C05-4033-B26F-1857D7277467}">
            <xm:f>'SCIMP Plan'!$F$144=4</xm:f>
            <x14:dxf>
              <fill>
                <patternFill>
                  <bgColor theme="1"/>
                </patternFill>
              </fill>
            </x14:dxf>
          </x14:cfRule>
          <x14:cfRule type="expression" priority="58" id="{D32A9310-2570-4F49-A32D-2E4A9AB36713}">
            <xm:f>'SCIMP Plan'!$F$144=3</xm:f>
            <x14:dxf>
              <fill>
                <patternFill>
                  <bgColor rgb="FFC00000"/>
                </patternFill>
              </fill>
            </x14:dxf>
          </x14:cfRule>
          <x14:cfRule type="expression" priority="59" id="{CD5A48F4-68B8-4457-8EF7-A91F625E1D6D}">
            <xm:f>'SCIMP Plan'!$F$144=2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0" id="{8D37A4BC-F2FD-45C2-905E-C2A261046A34}">
            <xm:f>'SCIMP Plan'!$F$144=1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T16</xm:sqref>
        </x14:conditionalFormatting>
        <x14:conditionalFormatting xmlns:xm="http://schemas.microsoft.com/office/excel/2006/main">
          <x14:cfRule type="expression" priority="67" id="{8A7891E2-4C5E-45AB-A431-F49121CB24DC}">
            <xm:f>'SCIMP Plan'!$F$146="W"</xm:f>
            <x14:dxf>
              <fill>
                <patternFill>
                  <bgColor rgb="FF7030A0"/>
                </patternFill>
              </fill>
            </x14:dxf>
          </x14:cfRule>
          <x14:cfRule type="expression" priority="68" id="{F59E8E41-AC57-44F5-8BDD-B377DB66484C}">
            <xm:f>'SCIMP Plan'!$F$146="D"</xm:f>
            <x14:dxf>
              <fill>
                <patternFill>
                  <bgColor theme="4"/>
                </patternFill>
              </fill>
            </x14:dxf>
          </x14:cfRule>
          <x14:cfRule type="expression" priority="69" id="{B4BCD719-9ABA-41C4-96E7-BA3E23137330}">
            <xm:f>'SCIMP Plan'!$F$146=4</xm:f>
            <x14:dxf>
              <fill>
                <patternFill>
                  <bgColor theme="1"/>
                </patternFill>
              </fill>
            </x14:dxf>
          </x14:cfRule>
          <x14:cfRule type="expression" priority="70" id="{DA38E2F8-804F-40AF-858F-993983012666}">
            <xm:f>'SCIMP Plan'!$F$146=3</xm:f>
            <x14:dxf>
              <fill>
                <patternFill>
                  <bgColor rgb="FFC00000"/>
                </patternFill>
              </fill>
            </x14:dxf>
          </x14:cfRule>
          <x14:cfRule type="expression" priority="71" id="{DB1E7703-23D5-49D0-BC10-12AC4C4C6A54}">
            <xm:f>'SCIMP Plan'!$F$146=2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2" id="{7EBC889F-647D-4665-93CC-D2A1219157E0}">
            <xm:f>'SCIMP Plan'!$F$146=1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T18</xm:sqref>
        </x14:conditionalFormatting>
        <x14:conditionalFormatting xmlns:xm="http://schemas.microsoft.com/office/excel/2006/main">
          <x14:cfRule type="expression" priority="79" id="{17992B76-0975-4816-A3F2-C4BD71BD80FA}">
            <xm:f>'SCIMP Plan'!$F$148="W"</xm:f>
            <x14:dxf>
              <fill>
                <patternFill>
                  <bgColor rgb="FF7030A0"/>
                </patternFill>
              </fill>
            </x14:dxf>
          </x14:cfRule>
          <x14:cfRule type="expression" priority="80" id="{74156E0B-FA2C-4BBB-AD71-A58637B84030}">
            <xm:f>'SCIMP Plan'!$F$148="D"</xm:f>
            <x14:dxf>
              <fill>
                <patternFill>
                  <bgColor theme="4"/>
                </patternFill>
              </fill>
            </x14:dxf>
          </x14:cfRule>
          <x14:cfRule type="expression" priority="81" id="{C992166E-5111-4545-BD05-625B84835C6B}">
            <xm:f>'SCIMP Plan'!$F$148=4</xm:f>
            <x14:dxf>
              <fill>
                <patternFill>
                  <bgColor theme="1"/>
                </patternFill>
              </fill>
            </x14:dxf>
          </x14:cfRule>
          <x14:cfRule type="expression" priority="82" id="{37D8CE03-8978-457E-8DD6-7081FCB28AB3}">
            <xm:f>'SCIMP Plan'!$F$148=3</xm:f>
            <x14:dxf>
              <fill>
                <patternFill>
                  <bgColor rgb="FFC00000"/>
                </patternFill>
              </fill>
            </x14:dxf>
          </x14:cfRule>
          <x14:cfRule type="expression" priority="83" id="{7C446FD5-712E-4A34-91DD-20663288D1D1}">
            <xm:f>'SCIMP Plan'!$F$148=2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4" id="{50E7BEF7-C103-4BEF-A278-B88A42F2AE26}">
            <xm:f>'SCIMP Plan'!$F$148=1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T20</xm:sqref>
        </x14:conditionalFormatting>
        <x14:conditionalFormatting xmlns:xm="http://schemas.microsoft.com/office/excel/2006/main">
          <x14:cfRule type="expression" priority="91" id="{3D6895CF-D453-489E-B754-838F748AEDB8}">
            <xm:f>'SCIMP Plan'!$F$151="W"</xm:f>
            <x14:dxf>
              <fill>
                <patternFill>
                  <bgColor rgb="FF7030A0"/>
                </patternFill>
              </fill>
            </x14:dxf>
          </x14:cfRule>
          <x14:cfRule type="expression" priority="92" id="{445210BC-C67F-4D68-B2F4-8EC63943C5F0}">
            <xm:f>'SCIMP Plan'!$F$151="D"</xm:f>
            <x14:dxf>
              <fill>
                <patternFill>
                  <bgColor theme="4"/>
                </patternFill>
              </fill>
            </x14:dxf>
          </x14:cfRule>
          <x14:cfRule type="expression" priority="93" id="{839D816D-13D9-478D-91F1-E4DCA6272CF2}">
            <xm:f>'SCIMP Plan'!$F$151=4</xm:f>
            <x14:dxf>
              <fill>
                <patternFill>
                  <bgColor theme="1"/>
                </patternFill>
              </fill>
            </x14:dxf>
          </x14:cfRule>
          <x14:cfRule type="expression" priority="94" id="{93387793-1FCD-4F02-A4DF-9696C66BBDB9}">
            <xm:f>'SCIMP Plan'!$F$151=3</xm:f>
            <x14:dxf>
              <fill>
                <patternFill>
                  <bgColor rgb="FFC00000"/>
                </patternFill>
              </fill>
            </x14:dxf>
          </x14:cfRule>
          <x14:cfRule type="expression" priority="95" id="{6CF8DE2F-AB5A-4AFE-B64B-B84AD5C800E1}">
            <xm:f>'SCIMP Plan'!$F$151=2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6" id="{1F7EFA4D-7AB0-4F47-8545-834FBCCDC565}">
            <xm:f>'SCIMP Plan'!$F$151=1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T22</xm:sqref>
        </x14:conditionalFormatting>
        <x14:conditionalFormatting xmlns:xm="http://schemas.microsoft.com/office/excel/2006/main">
          <x14:cfRule type="expression" priority="103" id="{9A5D0AC2-F96F-4AE7-8D90-08FA2A3AEDA8}">
            <xm:f>'SCIMP Plan'!$F$154="W"</xm:f>
            <x14:dxf>
              <fill>
                <patternFill>
                  <bgColor rgb="FF7030A0"/>
                </patternFill>
              </fill>
            </x14:dxf>
          </x14:cfRule>
          <x14:cfRule type="expression" priority="104" id="{5F64C300-905A-413C-824B-6E53CAA9A7BB}">
            <xm:f>'SCIMP Plan'!$F$154="D"</xm:f>
            <x14:dxf>
              <fill>
                <patternFill>
                  <bgColor theme="4"/>
                </patternFill>
              </fill>
            </x14:dxf>
          </x14:cfRule>
          <x14:cfRule type="expression" priority="105" id="{AA041585-9FE5-4919-8762-B643AD5A489B}">
            <xm:f>'SCIMP Plan'!$F$154=4</xm:f>
            <x14:dxf>
              <fill>
                <patternFill>
                  <bgColor theme="1"/>
                </patternFill>
              </fill>
            </x14:dxf>
          </x14:cfRule>
          <x14:cfRule type="expression" priority="106" id="{C17E1212-50A4-40C2-A210-7D5672A0A8B1}">
            <xm:f>'SCIMP Plan'!$F$154=3</xm:f>
            <x14:dxf>
              <fill>
                <patternFill>
                  <bgColor rgb="FFC00000"/>
                </patternFill>
              </fill>
            </x14:dxf>
          </x14:cfRule>
          <x14:cfRule type="expression" priority="107" id="{8BC949D7-221B-49E3-ABEF-178199BC8B6E}">
            <xm:f>'SCIMP Plan'!$F$154=2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8" id="{86D6F389-5343-4FB2-B929-0BA20BBCBB0C}">
            <xm:f>'SCIMP Plan'!$F$154=1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T24</xm:sqref>
        </x14:conditionalFormatting>
        <x14:conditionalFormatting xmlns:xm="http://schemas.microsoft.com/office/excel/2006/main">
          <x14:cfRule type="expression" priority="200" id="{55D8CBA7-DF13-4446-A26E-7B049A5D20F5}">
            <xm:f>'SCIMP Plan'!$F$180="W"</xm:f>
            <x14:dxf>
              <fill>
                <patternFill>
                  <bgColor rgb="FF7030A0"/>
                </patternFill>
              </fill>
            </x14:dxf>
          </x14:cfRule>
          <x14:cfRule type="expression" priority="201" id="{61911561-B7FB-46C5-96B4-ACA8881B0B32}">
            <xm:f>'SCIMP Plan'!$F$180="D"</xm:f>
            <x14:dxf>
              <fill>
                <patternFill>
                  <bgColor theme="4"/>
                </patternFill>
              </fill>
            </x14:dxf>
          </x14:cfRule>
          <x14:cfRule type="expression" priority="202" id="{2974FACA-5220-4611-A67E-8DA825726767}">
            <xm:f>'SCIMP Plan'!$F$180=4</xm:f>
            <x14:dxf>
              <fill>
                <patternFill>
                  <bgColor theme="1"/>
                </patternFill>
              </fill>
            </x14:dxf>
          </x14:cfRule>
          <x14:cfRule type="expression" priority="203" id="{090F2EF2-AAA5-459F-8BF7-16AE509DFD29}">
            <xm:f>'SCIMP Plan'!$F$180=3</xm:f>
            <x14:dxf>
              <fill>
                <patternFill>
                  <bgColor rgb="FFC00000"/>
                </patternFill>
              </fill>
            </x14:dxf>
          </x14:cfRule>
          <x14:cfRule type="expression" priority="204" id="{C779DB6A-742E-44C7-92FC-7890325602F6}">
            <xm:f>'SCIMP Plan'!$F$180=2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05" id="{C8BF264E-448F-4C79-8317-A6F8E0612E97}">
            <xm:f>'SCIMP Plan'!$F$180=1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T26</xm:sqref>
        </x14:conditionalFormatting>
        <x14:conditionalFormatting xmlns:xm="http://schemas.microsoft.com/office/excel/2006/main">
          <x14:cfRule type="expression" priority="484" id="{07BF6E93-40DA-4E60-9506-229941F636ED}">
            <xm:f>'SCIMP Plan'!$F$164="W"</xm:f>
            <x14:dxf>
              <fill>
                <patternFill>
                  <bgColor rgb="FF7030A0"/>
                </patternFill>
              </fill>
            </x14:dxf>
          </x14:cfRule>
          <x14:cfRule type="expression" priority="915" id="{13A0A5C1-FAF4-4443-8F89-C298225A681C}">
            <xm:f>'SCIMP Plan'!$F$164="D"</xm:f>
            <x14:dxf>
              <fill>
                <patternFill>
                  <bgColor theme="4"/>
                </patternFill>
              </fill>
            </x14:dxf>
          </x14:cfRule>
          <x14:cfRule type="expression" priority="916" id="{EDED7E61-E22F-4C9F-94AC-E662D5D8385B}">
            <xm:f>'SCIMP Plan'!$F$164=4</xm:f>
            <x14:dxf>
              <fill>
                <patternFill>
                  <bgColor theme="1"/>
                </patternFill>
              </fill>
            </x14:dxf>
          </x14:cfRule>
          <x14:cfRule type="expression" priority="917" id="{ADAE034F-E0E6-4DD9-8AEE-B6F96D631FEE}">
            <xm:f>'SCIMP Plan'!$F$164=3</xm:f>
            <x14:dxf>
              <fill>
                <patternFill>
                  <bgColor rgb="FFC00000"/>
                </patternFill>
              </fill>
            </x14:dxf>
          </x14:cfRule>
          <x14:cfRule type="expression" priority="918" id="{2F459AA6-052E-467D-B6B6-863A94FD268C}">
            <xm:f>'SCIMP Plan'!$F$164=2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19" id="{D3AFC44C-1DCD-440F-A967-3F332232C96C}">
            <xm:f>'SCIMP Plan'!$F$164=1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T28</xm:sqref>
        </x14:conditionalFormatting>
        <x14:conditionalFormatting xmlns:xm="http://schemas.microsoft.com/office/excel/2006/main">
          <x14:cfRule type="expression" priority="483" id="{C490584B-2821-4F85-B7EA-37531EC1761E}">
            <xm:f>'SCIMP Plan'!$F$179="W"</xm:f>
            <x14:dxf>
              <fill>
                <patternFill>
                  <bgColor rgb="FF7030A0"/>
                </patternFill>
              </fill>
            </x14:dxf>
          </x14:cfRule>
          <x14:cfRule type="expression" priority="910" id="{F4B5AA95-7EB2-4066-A1B8-D206220DF29F}">
            <xm:f>'SCIMP Plan'!$F$179="D"</xm:f>
            <x14:dxf>
              <fill>
                <patternFill>
                  <bgColor theme="4"/>
                </patternFill>
              </fill>
            </x14:dxf>
          </x14:cfRule>
          <x14:cfRule type="expression" priority="911" id="{7B75E127-DEED-468A-A521-64FA4EB002C8}">
            <xm:f>'SCIMP Plan'!$F$179=4</xm:f>
            <x14:dxf>
              <fill>
                <patternFill>
                  <bgColor theme="1"/>
                </patternFill>
              </fill>
            </x14:dxf>
          </x14:cfRule>
          <x14:cfRule type="expression" priority="912" id="{13E5E786-F813-4F94-BAEC-62EB6AA87E6D}">
            <xm:f>'SCIMP Plan'!$F$179=3</xm:f>
            <x14:dxf>
              <fill>
                <patternFill>
                  <bgColor rgb="FFC00000"/>
                </patternFill>
              </fill>
            </x14:dxf>
          </x14:cfRule>
          <x14:cfRule type="expression" priority="913" id="{338DF2A0-7D6E-4BC4-87EF-2E8B7885DD03}">
            <xm:f>'SCIMP Plan'!$F$179=2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14" id="{3F4229BF-BAD7-414D-8AB6-2FEBF9144474}">
            <xm:f>'SCIMP Plan'!$F$179=1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T31</xm:sqref>
        </x14:conditionalFormatting>
        <x14:conditionalFormatting xmlns:xm="http://schemas.microsoft.com/office/excel/2006/main">
          <x14:cfRule type="expression" priority="481" id="{6E6A9AA7-B978-4C37-951B-2FE2CB78C6BA}">
            <xm:f>'SCIMP Plan'!$F$176="W"</xm:f>
            <x14:dxf>
              <fill>
                <patternFill>
                  <bgColor rgb="FF7030A0"/>
                </patternFill>
              </fill>
            </x14:dxf>
          </x14:cfRule>
          <x14:cfRule type="expression" priority="900" id="{1372D729-4C9F-4D6B-A345-025A5561A195}">
            <xm:f>'SCIMP Plan'!$F$176="D"</xm:f>
            <x14:dxf>
              <fill>
                <patternFill>
                  <bgColor theme="4"/>
                </patternFill>
              </fill>
            </x14:dxf>
          </x14:cfRule>
          <x14:cfRule type="expression" priority="901" id="{0C231877-6E4D-414A-BB6D-F602B2F2C06B}">
            <xm:f>'SCIMP Plan'!$F$176=4</xm:f>
            <x14:dxf>
              <fill>
                <patternFill>
                  <bgColor theme="1"/>
                </patternFill>
              </fill>
            </x14:dxf>
          </x14:cfRule>
          <x14:cfRule type="expression" priority="902" id="{BA2CF798-74CC-4186-9069-C2377516CD74}">
            <xm:f>'SCIMP Plan'!$F$176=3</xm:f>
            <x14:dxf>
              <fill>
                <patternFill>
                  <bgColor rgb="FFC00000"/>
                </patternFill>
              </fill>
            </x14:dxf>
          </x14:cfRule>
          <x14:cfRule type="expression" priority="903" id="{9DBB0E4A-61AF-4036-B03B-43278C5D0852}">
            <xm:f>'SCIMP Plan'!$F$176=2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04" id="{E19DAA57-768B-4E5F-85FA-51F314B2A3B0}">
            <xm:f>'SCIMP Plan'!$F$176=1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T33</xm:sqref>
        </x14:conditionalFormatting>
        <x14:conditionalFormatting xmlns:xm="http://schemas.microsoft.com/office/excel/2006/main">
          <x14:cfRule type="expression" priority="477" id="{35861CB8-F66C-4907-9F24-DF554E1B26AD}">
            <xm:f>'SCIMP Plan'!$F$163="W"</xm:f>
            <x14:dxf>
              <fill>
                <patternFill>
                  <bgColor rgb="FF7030A0"/>
                </patternFill>
              </fill>
            </x14:dxf>
          </x14:cfRule>
          <x14:cfRule type="expression" priority="880" id="{B4E7A6C7-9295-4E93-BD88-AD0189EE31D5}">
            <xm:f>'SCIMP Plan'!$F$163="D"</xm:f>
            <x14:dxf>
              <fill>
                <patternFill>
                  <bgColor theme="4"/>
                </patternFill>
              </fill>
            </x14:dxf>
          </x14:cfRule>
          <x14:cfRule type="expression" priority="881" id="{B6A434EF-7D8D-4E6C-9EA1-63F040482B4C}">
            <xm:f>'SCIMP Plan'!$F$163=4</xm:f>
            <x14:dxf>
              <fill>
                <patternFill>
                  <bgColor theme="1"/>
                </patternFill>
              </fill>
            </x14:dxf>
          </x14:cfRule>
          <x14:cfRule type="expression" priority="882" id="{C2970E76-0142-43A7-8ABD-0D0497440EC6}">
            <xm:f>'SCIMP Plan'!$F$163=3</xm:f>
            <x14:dxf>
              <fill>
                <patternFill>
                  <bgColor rgb="FFC00000"/>
                </patternFill>
              </fill>
            </x14:dxf>
          </x14:cfRule>
          <x14:cfRule type="expression" priority="883" id="{87095A6D-F266-4637-B037-7D91837BE656}">
            <xm:f>'SCIMP Plan'!$F$163=2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84" id="{90585009-CC6C-437C-9AE7-00F2510CD3BF}">
            <xm:f>'SCIMP Plan'!$F$163=1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T35</xm:sqref>
        </x14:conditionalFormatting>
        <x14:conditionalFormatting xmlns:xm="http://schemas.microsoft.com/office/excel/2006/main">
          <x14:cfRule type="expression" priority="475" id="{D822909B-2920-4548-B28B-4122E59DAD06}">
            <xm:f>'SCIMP Plan'!$F$131="W"</xm:f>
            <x14:dxf>
              <fill>
                <patternFill>
                  <bgColor rgb="FF7030A0"/>
                </patternFill>
              </fill>
            </x14:dxf>
          </x14:cfRule>
          <x14:cfRule type="expression" priority="870" id="{15A7BFC8-92C1-42FC-9F32-B9CF205914FE}">
            <xm:f>'SCIMP Plan'!$F$131="D"</xm:f>
            <x14:dxf>
              <fill>
                <patternFill>
                  <bgColor theme="4"/>
                </patternFill>
              </fill>
            </x14:dxf>
          </x14:cfRule>
          <x14:cfRule type="expression" priority="871" id="{A7293ADD-9E98-4646-8EE1-ABCDDFB9A4DB}">
            <xm:f>'SCIMP Plan'!$F$131=4</xm:f>
            <x14:dxf>
              <fill>
                <patternFill>
                  <bgColor theme="1"/>
                </patternFill>
              </fill>
            </x14:dxf>
          </x14:cfRule>
          <x14:cfRule type="expression" priority="872" id="{30917CFE-E0B1-437C-9C0D-8CAC84C384AE}">
            <xm:f>'SCIMP Plan'!$F$131=3</xm:f>
            <x14:dxf>
              <fill>
                <patternFill>
                  <bgColor rgb="FFC00000"/>
                </patternFill>
              </fill>
            </x14:dxf>
          </x14:cfRule>
          <x14:cfRule type="expression" priority="873" id="{E01ECCD0-9617-46EB-A39D-63B9C2D7B038}">
            <xm:f>'SCIMP Plan'!$F$131=2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74" id="{E72A053B-8380-4B23-862E-C4BD516D58CD}">
            <xm:f>'SCIMP Plan'!$F$131=1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T37</xm:sqref>
        </x14:conditionalFormatting>
        <x14:conditionalFormatting xmlns:xm="http://schemas.microsoft.com/office/excel/2006/main">
          <x14:cfRule type="expression" priority="473" id="{B21E64BF-FF30-49A9-8B58-8E42DD090B30}">
            <xm:f>'SCIMP Plan'!$F$128="W"</xm:f>
            <x14:dxf>
              <fill>
                <patternFill>
                  <bgColor rgb="FF7030A0"/>
                </patternFill>
              </fill>
            </x14:dxf>
          </x14:cfRule>
          <x14:cfRule type="expression" priority="860" id="{608B020E-164A-4758-A534-9AF17E3EBDD5}">
            <xm:f>'SCIMP Plan'!$F$128="D"</xm:f>
            <x14:dxf>
              <fill>
                <patternFill>
                  <bgColor theme="4"/>
                </patternFill>
              </fill>
            </x14:dxf>
          </x14:cfRule>
          <x14:cfRule type="expression" priority="861" id="{2D01A778-4CAC-448C-A65D-77DB098E577B}">
            <xm:f>'SCIMP Plan'!$F$128=4</xm:f>
            <x14:dxf>
              <fill>
                <patternFill>
                  <bgColor theme="1"/>
                </patternFill>
              </fill>
            </x14:dxf>
          </x14:cfRule>
          <x14:cfRule type="expression" priority="862" id="{D42DE1FB-7699-40F1-B6CA-ED0CE88EB563}">
            <xm:f>'SCIMP Plan'!$F$128=3</xm:f>
            <x14:dxf>
              <fill>
                <patternFill>
                  <bgColor rgb="FFC00000"/>
                </patternFill>
              </fill>
            </x14:dxf>
          </x14:cfRule>
          <x14:cfRule type="expression" priority="863" id="{9FA5A87B-AD1B-4472-98D6-40765C77236C}">
            <xm:f>'SCIMP Plan'!$F$128=2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64" id="{B7343929-3A55-4BB8-83BB-C6A946909724}">
            <xm:f>'SCIMP Plan'!$F$128=1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T39</xm:sqref>
        </x14:conditionalFormatting>
        <x14:conditionalFormatting xmlns:xm="http://schemas.microsoft.com/office/excel/2006/main">
          <x14:cfRule type="expression" priority="2240" id="{0F5A46B7-8C1D-47AC-B4A4-5CE92E97F421}">
            <xm:f>'SCIMP Plan'!$F$126="W"</xm:f>
            <x14:dxf>
              <fill>
                <patternFill>
                  <bgColor rgb="FF7030A0"/>
                </patternFill>
              </fill>
            </x14:dxf>
          </x14:cfRule>
          <x14:cfRule type="expression" priority="2241" id="{54015E97-DF16-4C55-9CE8-201635A66EE9}">
            <xm:f>'SCIMP Plan'!$F$126="D"</xm:f>
            <x14:dxf>
              <fill>
                <patternFill>
                  <bgColor theme="4"/>
                </patternFill>
              </fill>
            </x14:dxf>
          </x14:cfRule>
          <x14:cfRule type="expression" priority="2242" id="{BAFD5DA5-7750-40FC-B9A2-04F723E58C31}">
            <xm:f>'SCIMP Plan'!$F$126=4</xm:f>
            <x14:dxf>
              <fill>
                <patternFill>
                  <bgColor theme="1"/>
                </patternFill>
              </fill>
            </x14:dxf>
          </x14:cfRule>
          <x14:cfRule type="expression" priority="2243" id="{B2DAE57F-37B7-4B43-9F7A-609BF6BEE556}">
            <xm:f>'SCIMP Plan'!$F$126=3</xm:f>
            <x14:dxf>
              <fill>
                <patternFill>
                  <bgColor rgb="FFC00000"/>
                </patternFill>
              </fill>
            </x14:dxf>
          </x14:cfRule>
          <x14:cfRule type="expression" priority="2244" id="{7BCEB949-9D85-4CBA-97E3-6CA714CF49CB}">
            <xm:f>'SCIMP Plan'!$F$126=2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245" id="{003C4110-ECA1-47A5-8CD9-58911B3B5F87}">
            <xm:f>'SCIMP Plan'!$F$126=1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T41</xm:sqref>
        </x14:conditionalFormatting>
        <x14:conditionalFormatting xmlns:xm="http://schemas.microsoft.com/office/excel/2006/main">
          <x14:cfRule type="expression" priority="176" id="{7D727F33-5AD5-4C11-A1B7-A06360207321}">
            <xm:f>'SCIMP Plan'!$F$137="W"</xm:f>
            <x14:dxf>
              <fill>
                <patternFill>
                  <bgColor rgb="FF7030A0"/>
                </patternFill>
              </fill>
            </x14:dxf>
          </x14:cfRule>
          <x14:cfRule type="expression" priority="177" id="{92446177-3859-46F7-BD93-59D58895C92D}">
            <xm:f>'SCIMP Plan'!$F$137="D"</xm:f>
            <x14:dxf>
              <fill>
                <patternFill>
                  <bgColor theme="4"/>
                </patternFill>
              </fill>
            </x14:dxf>
          </x14:cfRule>
          <x14:cfRule type="expression" priority="178" id="{C97403A0-18C8-401B-805B-EE336A85AC44}">
            <xm:f>'SCIMP Plan'!$F$137=4</xm:f>
            <x14:dxf>
              <fill>
                <patternFill>
                  <bgColor theme="1"/>
                </patternFill>
              </fill>
            </x14:dxf>
          </x14:cfRule>
          <x14:cfRule type="expression" priority="179" id="{F35B90BC-1E4D-4ECD-A871-319F544DF18F}">
            <xm:f>'SCIMP Plan'!$F$137=3</xm:f>
            <x14:dxf>
              <fill>
                <patternFill>
                  <bgColor rgb="FFC00000"/>
                </patternFill>
              </fill>
            </x14:dxf>
          </x14:cfRule>
          <x14:cfRule type="expression" priority="180" id="{ECEE7E5F-376B-43F2-9C70-A549AD093FDB}">
            <xm:f>'SCIMP Plan'!$F$137=2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1" id="{9B456011-3401-411D-B64F-23AF76CF57F6}">
            <xm:f>'SCIMP Plan'!$F$137=1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T43</xm:sqref>
        </x14:conditionalFormatting>
        <x14:conditionalFormatting xmlns:xm="http://schemas.microsoft.com/office/excel/2006/main">
          <x14:cfRule type="expression" priority="164" id="{49E6CA26-8F92-4B32-ACB5-E9547CA3B841}">
            <xm:f>'SCIMP Plan'!$F$159="W"</xm:f>
            <x14:dxf>
              <fill>
                <patternFill>
                  <bgColor rgb="FF7030A0"/>
                </patternFill>
              </fill>
            </x14:dxf>
          </x14:cfRule>
          <x14:cfRule type="expression" priority="165" id="{33200913-C1C1-4E04-AF09-DF65AF8E4FF1}">
            <xm:f>'SCIMP Plan'!$F$159="D"</xm:f>
            <x14:dxf>
              <fill>
                <patternFill>
                  <bgColor theme="4"/>
                </patternFill>
              </fill>
            </x14:dxf>
          </x14:cfRule>
          <x14:cfRule type="expression" priority="166" id="{6B1E371F-A154-4AD4-9CD4-6562DEED7F78}">
            <xm:f>'SCIMP Plan'!$F$159=4</xm:f>
            <x14:dxf>
              <fill>
                <patternFill>
                  <bgColor theme="1"/>
                </patternFill>
              </fill>
            </x14:dxf>
          </x14:cfRule>
          <x14:cfRule type="expression" priority="167" id="{1CD8ED0F-6B0A-4081-BF78-EA3296188242}">
            <xm:f>'SCIMP Plan'!$F$159=3</xm:f>
            <x14:dxf>
              <fill>
                <patternFill>
                  <bgColor rgb="FFC00000"/>
                </patternFill>
              </fill>
            </x14:dxf>
          </x14:cfRule>
          <x14:cfRule type="expression" priority="168" id="{368270AF-4745-4171-89C1-A034E18C1B43}">
            <xm:f>'SCIMP Plan'!$F$159=2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9" id="{DFE5E470-591A-46FB-A361-88A775181CEB}">
            <xm:f>'SCIMP Plan'!$F$159=1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T45</xm:sqref>
        </x14:conditionalFormatting>
        <x14:conditionalFormatting xmlns:xm="http://schemas.microsoft.com/office/excel/2006/main">
          <x14:cfRule type="expression" priority="465" id="{2A7D93CB-ADE9-44B3-B5FC-F2B620954F57}">
            <xm:f>'SCIMP Plan'!$F$113="W"</xm:f>
            <x14:dxf>
              <fill>
                <patternFill>
                  <bgColor rgb="FF7030A0"/>
                </patternFill>
              </fill>
            </x14:dxf>
          </x14:cfRule>
          <x14:cfRule type="expression" priority="840" id="{865F579C-E0B5-47F0-8E12-C9A570763FB9}">
            <xm:f>'SCIMP Plan'!$F$113="D"</xm:f>
            <x14:dxf>
              <fill>
                <patternFill>
                  <bgColor theme="4"/>
                </patternFill>
              </fill>
            </x14:dxf>
          </x14:cfRule>
          <x14:cfRule type="expression" priority="841" id="{BCFFB273-D29C-42B2-B19A-630AA12783E7}">
            <xm:f>'SCIMP Plan'!$F$113=4</xm:f>
            <x14:dxf>
              <fill>
                <patternFill>
                  <bgColor theme="1"/>
                </patternFill>
              </fill>
            </x14:dxf>
          </x14:cfRule>
          <x14:cfRule type="expression" priority="842" id="{41E99DF3-5E17-4E96-823C-11715DBB76F2}">
            <xm:f>'SCIMP Plan'!$F$113=3</xm:f>
            <x14:dxf>
              <fill>
                <patternFill>
                  <bgColor rgb="FFC00000"/>
                </patternFill>
              </fill>
            </x14:dxf>
          </x14:cfRule>
          <x14:cfRule type="expression" priority="843" id="{3455CAD3-EF72-464A-858B-1EF4DFA3541D}">
            <xm:f>'SCIMP Plan'!$F$113=2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44" id="{1AB023EC-5094-4EE7-99E4-1BDA8A860CFF}">
            <xm:f>'SCIMP Plan'!$F$113=1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T48</xm:sqref>
        </x14:conditionalFormatting>
        <x14:conditionalFormatting xmlns:xm="http://schemas.microsoft.com/office/excel/2006/main">
          <x14:cfRule type="expression" priority="463" id="{9569F839-232F-4EDD-9F25-9E52E6C38F4E}">
            <xm:f>'SCIMP Plan'!$F$162="W"</xm:f>
            <x14:dxf>
              <fill>
                <patternFill>
                  <bgColor rgb="FF7030A0"/>
                </patternFill>
              </fill>
            </x14:dxf>
          </x14:cfRule>
          <x14:cfRule type="expression" priority="830" id="{60FB74DA-F6FC-40DD-A843-5ED8CD9C18DE}">
            <xm:f>'SCIMP Plan'!$F$162="D"</xm:f>
            <x14:dxf>
              <fill>
                <patternFill>
                  <bgColor theme="4"/>
                </patternFill>
              </fill>
            </x14:dxf>
          </x14:cfRule>
          <x14:cfRule type="expression" priority="831" id="{45BA9F96-DBC6-4C52-B7F9-2141420EB446}">
            <xm:f>'SCIMP Plan'!$F$162=4</xm:f>
            <x14:dxf>
              <fill>
                <patternFill>
                  <bgColor theme="1"/>
                </patternFill>
              </fill>
            </x14:dxf>
          </x14:cfRule>
          <x14:cfRule type="expression" priority="832" id="{7576AB21-B80C-4D7F-B550-BB52EE17E89C}">
            <xm:f>'SCIMP Plan'!$F$162=3</xm:f>
            <x14:dxf>
              <fill>
                <patternFill>
                  <bgColor rgb="FFC00000"/>
                </patternFill>
              </fill>
            </x14:dxf>
          </x14:cfRule>
          <x14:cfRule type="expression" priority="833" id="{4D544F96-86EA-4F94-A485-C248FC996429}">
            <xm:f>'SCIMP Plan'!$F$162=2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34" id="{C19722A8-02B2-40EB-9D7C-9BA31A0808CF}">
            <xm:f>'SCIMP Plan'!$F$162=1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T50</xm:sqref>
        </x14:conditionalFormatting>
        <x14:conditionalFormatting xmlns:xm="http://schemas.microsoft.com/office/excel/2006/main">
          <x14:cfRule type="expression" priority="461" id="{F9E5E95D-1B1F-4CCC-8A7C-0E8842C7FE8E}">
            <xm:f>'SCIMP Plan'!$F$169="W"</xm:f>
            <x14:dxf>
              <fill>
                <patternFill>
                  <bgColor rgb="FF7030A0"/>
                </patternFill>
              </fill>
            </x14:dxf>
          </x14:cfRule>
          <x14:cfRule type="expression" priority="815" id="{D73D5D46-1447-4675-AC22-B2CE2427CE3C}">
            <xm:f>'SCIMP Plan'!$F$169="D"</xm:f>
            <x14:dxf>
              <fill>
                <patternFill>
                  <bgColor theme="4"/>
                </patternFill>
              </fill>
            </x14:dxf>
          </x14:cfRule>
          <x14:cfRule type="expression" priority="816" id="{14D73724-4E53-4A6F-8CDD-8DEDCEE69437}">
            <xm:f>'SCIMP Plan'!$F$169=4</xm:f>
            <x14:dxf>
              <fill>
                <patternFill>
                  <bgColor theme="1"/>
                </patternFill>
              </fill>
            </x14:dxf>
          </x14:cfRule>
          <x14:cfRule type="expression" priority="817" id="{C75003B5-E7A2-4801-B996-ECF552EDB9ED}">
            <xm:f>'SCIMP Plan'!$F$169=3</xm:f>
            <x14:dxf>
              <fill>
                <patternFill>
                  <bgColor rgb="FFC00000"/>
                </patternFill>
              </fill>
            </x14:dxf>
          </x14:cfRule>
          <x14:cfRule type="expression" priority="818" id="{1C47C905-94F4-4856-A39F-44486A755DBF}">
            <xm:f>'SCIMP Plan'!$F$169=2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19" id="{3D8FFC72-A948-447C-A0B9-5C07F31D5E40}">
            <xm:f>'SCIMP Plan'!$F$169=1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T52</xm:sqref>
        </x14:conditionalFormatting>
        <x14:conditionalFormatting xmlns:xm="http://schemas.microsoft.com/office/excel/2006/main">
          <x14:cfRule type="expression" priority="459" id="{1C90F8B9-834A-4D9D-9A84-6A36E2081B63}">
            <xm:f>'SCIMP Plan'!$F$171="W"</xm:f>
            <x14:dxf>
              <fill>
                <patternFill>
                  <bgColor rgb="FF7030A0"/>
                </patternFill>
              </fill>
            </x14:dxf>
          </x14:cfRule>
          <x14:cfRule type="expression" priority="805" id="{6857D900-88D9-4951-BA20-5B04EBF85DF5}">
            <xm:f>'SCIMP Plan'!$F$171="D"</xm:f>
            <x14:dxf>
              <fill>
                <patternFill>
                  <bgColor theme="4"/>
                </patternFill>
              </fill>
            </x14:dxf>
          </x14:cfRule>
          <x14:cfRule type="expression" priority="806" id="{FF90D37D-E77E-457B-90D6-2F210239C0B3}">
            <xm:f>'SCIMP Plan'!$F$171=4</xm:f>
            <x14:dxf>
              <fill>
                <patternFill>
                  <bgColor theme="1"/>
                </patternFill>
              </fill>
            </x14:dxf>
          </x14:cfRule>
          <x14:cfRule type="expression" priority="807" id="{FB27EC83-3F4B-4638-9DED-A64F3F4CD30D}">
            <xm:f>'SCIMP Plan'!$F$171=3</xm:f>
            <x14:dxf>
              <fill>
                <patternFill>
                  <bgColor rgb="FFC00000"/>
                </patternFill>
              </fill>
            </x14:dxf>
          </x14:cfRule>
          <x14:cfRule type="expression" priority="808" id="{B35F48A6-1C1F-4999-AC1F-58D686DB951A}">
            <xm:f>'SCIMP Plan'!$F$171=2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09" id="{52E00A69-CE36-41AE-8C55-9AED88E3099C}">
            <xm:f>'SCIMP Plan'!$F$171=1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T54</xm:sqref>
        </x14:conditionalFormatting>
        <x14:conditionalFormatting xmlns:xm="http://schemas.microsoft.com/office/excel/2006/main">
          <x14:cfRule type="expression" priority="457" id="{7CC86B69-8CA5-4338-892F-97FEE0D1F589}">
            <xm:f>'SCIMP Plan'!$F$174="W"</xm:f>
            <x14:dxf>
              <fill>
                <patternFill>
                  <bgColor rgb="FF7030A0"/>
                </patternFill>
              </fill>
            </x14:dxf>
          </x14:cfRule>
          <x14:cfRule type="expression" priority="795" id="{FBC49FF7-6DE0-4045-B0A7-F9271138E911}">
            <xm:f>'SCIMP Plan'!$F$174="D"</xm:f>
            <x14:dxf>
              <fill>
                <patternFill>
                  <bgColor theme="4"/>
                </patternFill>
              </fill>
            </x14:dxf>
          </x14:cfRule>
          <x14:cfRule type="expression" priority="796" id="{18D63347-E3A6-4C2D-8FD4-B264A1C7CC66}">
            <xm:f>'SCIMP Plan'!$F$174=4</xm:f>
            <x14:dxf>
              <fill>
                <patternFill>
                  <bgColor theme="1"/>
                </patternFill>
              </fill>
            </x14:dxf>
          </x14:cfRule>
          <x14:cfRule type="expression" priority="797" id="{DAADA80A-1D1D-47E2-9E3E-28BFB3CAEA00}">
            <xm:f>'SCIMP Plan'!$F$174=3</xm:f>
            <x14:dxf>
              <fill>
                <patternFill>
                  <bgColor rgb="FFC00000"/>
                </patternFill>
              </fill>
            </x14:dxf>
          </x14:cfRule>
          <x14:cfRule type="expression" priority="798" id="{858B7193-9174-4680-BBE3-AEF71FB151D5}">
            <xm:f>'SCIMP Plan'!$F$174=2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99" id="{936775D5-4334-4DA4-879D-ED2AA6C06670}">
            <xm:f>'SCIMP Plan'!$F$174=1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T56</xm:sqref>
        </x14:conditionalFormatting>
        <x14:conditionalFormatting xmlns:xm="http://schemas.microsoft.com/office/excel/2006/main">
          <x14:cfRule type="expression" priority="25" id="{0893CD9E-5F6C-4E6E-99DF-468C012945A0}">
            <xm:f>'SCIMP Plan'!$F$141="W"</xm:f>
            <x14:dxf>
              <fill>
                <patternFill>
                  <bgColor rgb="FF7030A0"/>
                </patternFill>
              </fill>
            </x14:dxf>
          </x14:cfRule>
          <x14:cfRule type="expression" priority="26" id="{4E304B4F-9E3B-4D11-8BD2-7CC2C0F5C76C}">
            <xm:f>'SCIMP Plan'!$F$141="D"</xm:f>
            <x14:dxf>
              <fill>
                <patternFill>
                  <bgColor theme="4"/>
                </patternFill>
              </fill>
            </x14:dxf>
          </x14:cfRule>
          <x14:cfRule type="expression" priority="27" id="{65FBFA24-7803-4F9F-AB03-AC281A23986B}">
            <xm:f>'SCIMP Plan'!$F$141=4</xm:f>
            <x14:dxf>
              <fill>
                <patternFill>
                  <bgColor theme="1"/>
                </patternFill>
              </fill>
            </x14:dxf>
          </x14:cfRule>
          <x14:cfRule type="expression" priority="28" id="{8879D595-3296-4203-B879-93B8F0047333}">
            <xm:f>'SCIMP Plan'!$F$141=3</xm:f>
            <x14:dxf>
              <fill>
                <patternFill>
                  <bgColor rgb="FFC00000"/>
                </patternFill>
              </fill>
            </x14:dxf>
          </x14:cfRule>
          <x14:cfRule type="expression" priority="29" id="{78DC19EC-31AB-4DCF-BEC2-139EE265E0D7}">
            <xm:f>'SCIMP Plan'!$F$141=2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0" id="{69B337B3-BC28-4F58-80E1-4C25181130FF}">
            <xm:f>'SCIMP Plan'!$F$141=1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W12</xm:sqref>
        </x14:conditionalFormatting>
        <x14:conditionalFormatting xmlns:xm="http://schemas.microsoft.com/office/excel/2006/main">
          <x14:cfRule type="expression" priority="37" id="{B467B7BA-76B9-4EEB-A2AA-D06D23AD9B52}">
            <xm:f>'SCIMP Plan'!$F$143="W"</xm:f>
            <x14:dxf>
              <fill>
                <patternFill>
                  <bgColor rgb="FF7030A0"/>
                </patternFill>
              </fill>
            </x14:dxf>
          </x14:cfRule>
          <x14:cfRule type="expression" priority="38" id="{9598AB07-1831-4029-BAFF-C190F6AD24ED}">
            <xm:f>'SCIMP Plan'!$F$143="D"</xm:f>
            <x14:dxf>
              <fill>
                <patternFill>
                  <bgColor theme="4"/>
                </patternFill>
              </fill>
            </x14:dxf>
          </x14:cfRule>
          <x14:cfRule type="expression" priority="39" id="{4EA72E2A-6E21-4988-9139-4CC62259746E}">
            <xm:f>'SCIMP Plan'!$F$143=4</xm:f>
            <x14:dxf>
              <fill>
                <patternFill>
                  <bgColor theme="1"/>
                </patternFill>
              </fill>
            </x14:dxf>
          </x14:cfRule>
          <x14:cfRule type="expression" priority="40" id="{C5EC2E3A-2085-4E0D-98D8-07830F96ADD4}">
            <xm:f>'SCIMP Plan'!$F$143=3</xm:f>
            <x14:dxf>
              <fill>
                <patternFill>
                  <bgColor rgb="FFC00000"/>
                </patternFill>
              </fill>
            </x14:dxf>
          </x14:cfRule>
          <x14:cfRule type="expression" priority="41" id="{B33EECBC-813C-4D7F-BC66-11A79271DF6A}">
            <xm:f>'SCIMP Plan'!$F$143=2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2" id="{5DC39A9D-EFFE-414C-9D72-BFD57381617A}">
            <xm:f>'SCIMP Plan'!$F$143=1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W14</xm:sqref>
        </x14:conditionalFormatting>
        <x14:conditionalFormatting xmlns:xm="http://schemas.microsoft.com/office/excel/2006/main">
          <x14:cfRule type="expression" priority="49" id="{D4404605-D4C2-4CB1-9D23-77A659617752}">
            <xm:f>'SCIMP Plan'!$F$145="W"</xm:f>
            <x14:dxf>
              <fill>
                <patternFill>
                  <bgColor rgb="FF7030A0"/>
                </patternFill>
              </fill>
            </x14:dxf>
          </x14:cfRule>
          <x14:cfRule type="expression" priority="50" id="{9B7F0CB3-3C5D-4718-B96F-9A1ED7044545}">
            <xm:f>'SCIMP Plan'!$F$145="D"</xm:f>
            <x14:dxf>
              <fill>
                <patternFill>
                  <bgColor theme="4"/>
                </patternFill>
              </fill>
            </x14:dxf>
          </x14:cfRule>
          <x14:cfRule type="expression" priority="51" id="{9DE93F7F-4CEC-4D7C-9456-19280AB6E8D9}">
            <xm:f>'SCIMP Plan'!$F$145=4</xm:f>
            <x14:dxf>
              <fill>
                <patternFill>
                  <bgColor theme="1"/>
                </patternFill>
              </fill>
            </x14:dxf>
          </x14:cfRule>
          <x14:cfRule type="expression" priority="52" id="{A71FC11F-22DD-4923-B9ED-53EA4EF0CDD7}">
            <xm:f>'SCIMP Plan'!$F$145=3</xm:f>
            <x14:dxf>
              <fill>
                <patternFill>
                  <bgColor rgb="FFC00000"/>
                </patternFill>
              </fill>
            </x14:dxf>
          </x14:cfRule>
          <x14:cfRule type="expression" priority="53" id="{AE5D5CC5-F49E-4F8B-A920-95C775560310}">
            <xm:f>'SCIMP Plan'!$F$145=2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4" id="{6A6BE862-334C-465B-B39A-494A2C394DC2}">
            <xm:f>'SCIMP Plan'!$F$145=1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W16</xm:sqref>
        </x14:conditionalFormatting>
        <x14:conditionalFormatting xmlns:xm="http://schemas.microsoft.com/office/excel/2006/main">
          <x14:cfRule type="expression" priority="61" id="{4344FDE7-1E4B-442F-9D32-209FAFB1C5AE}">
            <xm:f>'SCIMP Plan'!$F$147="W"</xm:f>
            <x14:dxf>
              <fill>
                <patternFill>
                  <bgColor rgb="FF7030A0"/>
                </patternFill>
              </fill>
            </x14:dxf>
          </x14:cfRule>
          <x14:cfRule type="expression" priority="62" id="{BEB84E3F-3887-46A7-AAEC-B27B2EEEEE1A}">
            <xm:f>'SCIMP Plan'!$F$147="D"</xm:f>
            <x14:dxf>
              <fill>
                <patternFill>
                  <bgColor theme="4"/>
                </patternFill>
              </fill>
            </x14:dxf>
          </x14:cfRule>
          <x14:cfRule type="expression" priority="63" id="{5EBE6964-1070-4CF7-A703-94676C2E14EF}">
            <xm:f>'SCIMP Plan'!$F$147=4</xm:f>
            <x14:dxf>
              <fill>
                <patternFill>
                  <bgColor theme="1"/>
                </patternFill>
              </fill>
            </x14:dxf>
          </x14:cfRule>
          <x14:cfRule type="expression" priority="64" id="{B17149FF-D19C-4C75-A97A-36C07B3CB867}">
            <xm:f>'SCIMP Plan'!$F$147=3</xm:f>
            <x14:dxf>
              <fill>
                <patternFill>
                  <bgColor rgb="FFC00000"/>
                </patternFill>
              </fill>
            </x14:dxf>
          </x14:cfRule>
          <x14:cfRule type="expression" priority="65" id="{6A4B917D-371F-4E85-9581-6DF1D59D3718}">
            <xm:f>'SCIMP Plan'!$F$147=2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6" id="{63418DF8-5F8C-44A0-A25B-5AD73B8DBF00}">
            <xm:f>'SCIMP Plan'!$F$147=1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W18</xm:sqref>
        </x14:conditionalFormatting>
        <x14:conditionalFormatting xmlns:xm="http://schemas.microsoft.com/office/excel/2006/main">
          <x14:cfRule type="expression" priority="73" id="{3AE2EA81-1D03-45CA-9945-4C0BCD66192C}">
            <xm:f>'SCIMP Plan'!$F$149="W"</xm:f>
            <x14:dxf>
              <fill>
                <patternFill>
                  <bgColor rgb="FF7030A0"/>
                </patternFill>
              </fill>
            </x14:dxf>
          </x14:cfRule>
          <x14:cfRule type="expression" priority="74" id="{9BADA758-4031-49A1-9695-2CA25B253F2B}">
            <xm:f>'SCIMP Plan'!$F$149="D"</xm:f>
            <x14:dxf>
              <fill>
                <patternFill>
                  <bgColor theme="4"/>
                </patternFill>
              </fill>
            </x14:dxf>
          </x14:cfRule>
          <x14:cfRule type="expression" priority="75" id="{8FADA23D-373A-4867-B08D-A8B728986159}">
            <xm:f>'SCIMP Plan'!$F$149=4</xm:f>
            <x14:dxf>
              <fill>
                <patternFill>
                  <bgColor theme="1"/>
                </patternFill>
              </fill>
            </x14:dxf>
          </x14:cfRule>
          <x14:cfRule type="expression" priority="76" id="{ADA7DC31-B717-40D7-BB3E-AEE1CEE16AE7}">
            <xm:f>'SCIMP Plan'!$F$149=3</xm:f>
            <x14:dxf>
              <fill>
                <patternFill>
                  <bgColor rgb="FFC00000"/>
                </patternFill>
              </fill>
            </x14:dxf>
          </x14:cfRule>
          <x14:cfRule type="expression" priority="77" id="{1DF94441-51D2-4569-B5F3-BC595DE6C3DD}">
            <xm:f>'SCIMP Plan'!$F$149=2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8" id="{48ACA5BC-E122-43D9-86B7-D4A5EF00DBFD}">
            <xm:f>'SCIMP Plan'!$F$149=1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W20</xm:sqref>
        </x14:conditionalFormatting>
        <x14:conditionalFormatting xmlns:xm="http://schemas.microsoft.com/office/excel/2006/main">
          <x14:cfRule type="expression" priority="85" id="{DDCA96F0-2BD5-4B61-8C8A-FC4EBAB3C5FD}">
            <xm:f>'SCIMP Plan'!$F$150="W"</xm:f>
            <x14:dxf>
              <fill>
                <patternFill>
                  <bgColor rgb="FF7030A0"/>
                </patternFill>
              </fill>
            </x14:dxf>
          </x14:cfRule>
          <x14:cfRule type="expression" priority="86" id="{7EDD68CC-77C4-4258-A684-D503F1233875}">
            <xm:f>'SCIMP Plan'!$F$150="D"</xm:f>
            <x14:dxf>
              <fill>
                <patternFill>
                  <bgColor theme="4"/>
                </patternFill>
              </fill>
            </x14:dxf>
          </x14:cfRule>
          <x14:cfRule type="expression" priority="87" id="{6720C05C-5625-4C82-8E73-EDA9D00ADAB4}">
            <xm:f>'SCIMP Plan'!$F$150=4</xm:f>
            <x14:dxf>
              <fill>
                <patternFill>
                  <bgColor theme="1"/>
                </patternFill>
              </fill>
            </x14:dxf>
          </x14:cfRule>
          <x14:cfRule type="expression" priority="88" id="{A53B8C1B-243C-4873-A36B-BE68EE9612D6}">
            <xm:f>'SCIMP Plan'!$F$150=3</xm:f>
            <x14:dxf>
              <fill>
                <patternFill>
                  <bgColor rgb="FFC00000"/>
                </patternFill>
              </fill>
            </x14:dxf>
          </x14:cfRule>
          <x14:cfRule type="expression" priority="89" id="{9007B47C-B3B8-4804-BAB6-CCD32F9870D0}">
            <xm:f>'SCIMP Plan'!$F$150=2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0" id="{88B1260F-1DD4-4B72-BF9B-3CCB3DE84137}">
            <xm:f>'SCIMP Plan'!$F$150=1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W22</xm:sqref>
        </x14:conditionalFormatting>
        <x14:conditionalFormatting xmlns:xm="http://schemas.microsoft.com/office/excel/2006/main">
          <x14:cfRule type="expression" priority="97" id="{7CE38BD6-DD24-48C5-A80E-682A75DD651A}">
            <xm:f>'SCIMP Plan'!$F$156="W"</xm:f>
            <x14:dxf>
              <fill>
                <patternFill>
                  <bgColor rgb="FF7030A0"/>
                </patternFill>
              </fill>
            </x14:dxf>
          </x14:cfRule>
          <x14:cfRule type="expression" priority="98" id="{7121DEAF-FE7A-4DAF-905A-C7CF83D7DB68}">
            <xm:f>'SCIMP Plan'!$F$156="D"</xm:f>
            <x14:dxf>
              <fill>
                <patternFill>
                  <bgColor theme="4"/>
                </patternFill>
              </fill>
            </x14:dxf>
          </x14:cfRule>
          <x14:cfRule type="expression" priority="99" id="{9F7B5F74-313C-43CD-894D-BED8DAA789EF}">
            <xm:f>'SCIMP Plan'!$F$156=4</xm:f>
            <x14:dxf>
              <fill>
                <patternFill>
                  <bgColor theme="1"/>
                </patternFill>
              </fill>
            </x14:dxf>
          </x14:cfRule>
          <x14:cfRule type="expression" priority="100" id="{1C0FDA5C-E9CD-4E1C-8535-5BCB90C10775}">
            <xm:f>'SCIMP Plan'!$F$156=3</xm:f>
            <x14:dxf>
              <fill>
                <patternFill>
                  <bgColor rgb="FFC00000"/>
                </patternFill>
              </fill>
            </x14:dxf>
          </x14:cfRule>
          <x14:cfRule type="expression" priority="101" id="{65EA6756-1190-4267-80E9-63B3BA1FB119}">
            <xm:f>'SCIMP Plan'!$F$156=2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2" id="{7A1BCE28-52DC-4F8F-A33C-EB336D724D01}">
            <xm:f>'SCIMP Plan'!$F$156=1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W24</xm:sqref>
        </x14:conditionalFormatting>
        <x14:conditionalFormatting xmlns:xm="http://schemas.microsoft.com/office/excel/2006/main">
          <x14:cfRule type="expression" priority="109" id="{9DC025BD-5BD5-4755-9301-A2FA3C6BC1DD}">
            <xm:f>'SCIMP Plan'!$F$158="W"</xm:f>
            <x14:dxf>
              <fill>
                <patternFill>
                  <bgColor rgb="FF7030A0"/>
                </patternFill>
              </fill>
            </x14:dxf>
          </x14:cfRule>
          <x14:cfRule type="expression" priority="110" id="{18152613-4242-411D-961D-9933AACFD108}">
            <xm:f>'SCIMP Plan'!$F$158="D"</xm:f>
            <x14:dxf>
              <fill>
                <patternFill>
                  <bgColor theme="4"/>
                </patternFill>
              </fill>
            </x14:dxf>
          </x14:cfRule>
          <x14:cfRule type="expression" priority="111" id="{8013C168-AE1F-49CA-B197-65A582B2BF32}">
            <xm:f>'SCIMP Plan'!$F$158=4</xm:f>
            <x14:dxf>
              <fill>
                <patternFill>
                  <bgColor theme="1"/>
                </patternFill>
              </fill>
            </x14:dxf>
          </x14:cfRule>
          <x14:cfRule type="expression" priority="112" id="{295BE406-B672-4BBB-9CA0-F930578A471E}">
            <xm:f>'SCIMP Plan'!$F$158=3</xm:f>
            <x14:dxf>
              <fill>
                <patternFill>
                  <bgColor rgb="FFC00000"/>
                </patternFill>
              </fill>
            </x14:dxf>
          </x14:cfRule>
          <x14:cfRule type="expression" priority="113" id="{9E915780-4C20-4BD2-82FD-D8473ADEDD82}">
            <xm:f>'SCIMP Plan'!$F$158=2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4" id="{77CA2513-73D2-4DBB-A994-E9CC10A33A8B}">
            <xm:f>'SCIMP Plan'!$F$158=1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W26</xm:sqref>
        </x14:conditionalFormatting>
        <x14:conditionalFormatting xmlns:xm="http://schemas.microsoft.com/office/excel/2006/main">
          <x14:cfRule type="expression" priority="188" id="{20AE0B32-D734-489B-90E2-6DC35D0A2D02}">
            <xm:f>'SCIMP Plan'!$F$181="W"</xm:f>
            <x14:dxf>
              <fill>
                <patternFill>
                  <bgColor rgb="FF7030A0"/>
                </patternFill>
              </fill>
            </x14:dxf>
          </x14:cfRule>
          <x14:cfRule type="expression" priority="189" id="{3FAA5DDB-0572-47D3-89B7-4CAFECE16C84}">
            <xm:f>'SCIMP Plan'!$F$181="D"</xm:f>
            <x14:dxf>
              <fill>
                <patternFill>
                  <bgColor theme="4"/>
                </patternFill>
              </fill>
            </x14:dxf>
          </x14:cfRule>
          <x14:cfRule type="expression" priority="190" id="{065AD8DE-2E0C-46F0-AC55-F202AEA612BF}">
            <xm:f>'SCIMP Plan'!$F$181=4</xm:f>
            <x14:dxf>
              <fill>
                <patternFill>
                  <bgColor theme="1"/>
                </patternFill>
              </fill>
            </x14:dxf>
          </x14:cfRule>
          <x14:cfRule type="expression" priority="191" id="{2C6FE7F0-A2F2-4648-9E68-94A9FD740B58}">
            <xm:f>'SCIMP Plan'!$F$181=3</xm:f>
            <x14:dxf>
              <fill>
                <patternFill>
                  <bgColor rgb="FFC00000"/>
                </patternFill>
              </fill>
            </x14:dxf>
          </x14:cfRule>
          <x14:cfRule type="expression" priority="192" id="{12482FB3-59E8-4B70-B93E-8CF51E54A881}">
            <xm:f>'SCIMP Plan'!$F$181=2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3" id="{6EF5CC29-8F30-4518-A5E1-97E9B4A56DA7}">
            <xm:f>'SCIMP Plan'!$F$181=1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W28</xm:sqref>
        </x14:conditionalFormatting>
        <x14:conditionalFormatting xmlns:xm="http://schemas.microsoft.com/office/excel/2006/main">
          <x14:cfRule type="expression" priority="482" id="{3B47AE6C-82A4-40EF-ACEE-EB0B2C2E69B7}">
            <xm:f>'SCIMP Plan'!$F$127="W"</xm:f>
            <x14:dxf>
              <fill>
                <patternFill>
                  <bgColor rgb="FF7030A0"/>
                </patternFill>
              </fill>
            </x14:dxf>
          </x14:cfRule>
          <x14:cfRule type="expression" priority="1625" id="{3DED5050-5762-4788-A8CB-B4FE5A2E9863}">
            <xm:f>'SCIMP Plan'!$F$127="D"</xm:f>
            <x14:dxf>
              <fill>
                <patternFill>
                  <bgColor theme="4"/>
                </patternFill>
              </fill>
            </x14:dxf>
          </x14:cfRule>
          <x14:cfRule type="expression" priority="1626" id="{FC8B3C83-4A16-4590-8E7B-B73AF4C08EC5}">
            <xm:f>'SCIMP Plan'!$F$127=4</xm:f>
            <x14:dxf>
              <fill>
                <patternFill>
                  <bgColor theme="1"/>
                </patternFill>
              </fill>
            </x14:dxf>
          </x14:cfRule>
          <x14:cfRule type="expression" priority="1627" id="{24A27ADE-8EBB-4393-97ED-9B1ED52E0AE2}">
            <xm:f>'SCIMP Plan'!$F$127=3</xm:f>
            <x14:dxf>
              <fill>
                <patternFill>
                  <bgColor rgb="FFC00000"/>
                </patternFill>
              </fill>
            </x14:dxf>
          </x14:cfRule>
          <x14:cfRule type="expression" priority="1628" id="{898D3603-3C01-474A-AA75-B6E9B0BDC4F6}">
            <xm:f>'SCIMP Plan'!$F$127=2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29" id="{B643C354-14D1-4B9A-9558-3C3B60D82ED9}">
            <xm:f>'SCIMP Plan'!$F$127=1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W31</xm:sqref>
        </x14:conditionalFormatting>
        <x14:conditionalFormatting xmlns:xm="http://schemas.microsoft.com/office/excel/2006/main">
          <x14:cfRule type="expression" priority="480" id="{648C4A05-0B69-48E0-8507-CD497BABF49E}">
            <xm:f>'SCIMP Plan'!$F$177="W"</xm:f>
            <x14:dxf>
              <fill>
                <patternFill>
                  <bgColor rgb="FF7030A0"/>
                </patternFill>
              </fill>
            </x14:dxf>
          </x14:cfRule>
          <x14:cfRule type="expression" priority="905" id="{8ED57865-A4EC-478E-AD2F-A5B7956A2983}">
            <xm:f>'SCIMP Plan'!$F$177="D"</xm:f>
            <x14:dxf>
              <fill>
                <patternFill>
                  <bgColor theme="4"/>
                </patternFill>
              </fill>
            </x14:dxf>
          </x14:cfRule>
          <x14:cfRule type="expression" priority="906" id="{12A3EFC9-221E-4925-AEE4-515FCD49ED2E}">
            <xm:f>'SCIMP Plan'!$F$177=4</xm:f>
            <x14:dxf>
              <fill>
                <patternFill>
                  <bgColor theme="1"/>
                </patternFill>
              </fill>
            </x14:dxf>
          </x14:cfRule>
          <x14:cfRule type="expression" priority="907" id="{36DD024B-ED65-4EAC-BCE9-CEF02E4E212F}">
            <xm:f>'SCIMP Plan'!$F$177=3</xm:f>
            <x14:dxf>
              <fill>
                <patternFill>
                  <bgColor rgb="FFC00000"/>
                </patternFill>
              </fill>
            </x14:dxf>
          </x14:cfRule>
          <x14:cfRule type="expression" priority="908" id="{968DB079-15B4-4BC9-8959-5CE494AC5E5F}">
            <xm:f>'SCIMP Plan'!$F$177=2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09" id="{3DE4756A-0F1A-4156-81A6-CB71BD69B80A}">
            <xm:f>'SCIMP Plan'!$F$177=1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W33</xm:sqref>
        </x14:conditionalFormatting>
        <x14:conditionalFormatting xmlns:xm="http://schemas.microsoft.com/office/excel/2006/main">
          <x14:cfRule type="expression" priority="182" id="{7C6C0162-8652-40C1-8C45-708593AAE5D7}">
            <xm:f>'SCIMP Plan'!$F$140="W"</xm:f>
            <x14:dxf>
              <fill>
                <patternFill>
                  <bgColor rgb="FF7030A0"/>
                </patternFill>
              </fill>
            </x14:dxf>
          </x14:cfRule>
          <x14:cfRule type="expression" priority="183" id="{9E10EA66-88A3-4A63-8F71-44C922BB840F}">
            <xm:f>'SCIMP Plan'!$F$140="D"</xm:f>
            <x14:dxf>
              <fill>
                <patternFill>
                  <bgColor theme="4"/>
                </patternFill>
              </fill>
            </x14:dxf>
          </x14:cfRule>
          <x14:cfRule type="expression" priority="184" id="{38CFE042-EC06-49E9-B291-1D90358D08B3}">
            <xm:f>'SCIMP Plan'!$F$140=4</xm:f>
            <x14:dxf>
              <fill>
                <patternFill>
                  <bgColor theme="1"/>
                </patternFill>
              </fill>
            </x14:dxf>
          </x14:cfRule>
          <x14:cfRule type="expression" priority="185" id="{1A3B7806-818F-44A8-88E9-56901BBDDD87}">
            <xm:f>'SCIMP Plan'!$F$140=3</xm:f>
            <x14:dxf>
              <fill>
                <patternFill>
                  <bgColor rgb="FFC00000"/>
                </patternFill>
              </fill>
            </x14:dxf>
          </x14:cfRule>
          <x14:cfRule type="expression" priority="186" id="{2B2EE627-1732-47E4-B7B1-0FEDC8A405FB}">
            <xm:f>'SCIMP Plan'!$F$140=2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7" id="{551EDDEC-F3C8-4B03-A4FB-80F920A30FC3}">
            <xm:f>'SCIMP Plan'!$F$140=1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W35</xm:sqref>
        </x14:conditionalFormatting>
        <x14:conditionalFormatting xmlns:xm="http://schemas.microsoft.com/office/excel/2006/main">
          <x14:cfRule type="expression" priority="474" id="{94613618-CB8A-4C7D-942B-1775F1530A45}">
            <xm:f>'SCIMP Plan'!$F$167="W"</xm:f>
            <x14:dxf>
              <fill>
                <patternFill>
                  <bgColor rgb="FF7030A0"/>
                </patternFill>
              </fill>
            </x14:dxf>
          </x14:cfRule>
          <x14:cfRule type="expression" priority="885" id="{7128EE50-367B-414F-A338-ACCCA88FF191}">
            <xm:f>'SCIMP Plan'!$F$167="D"</xm:f>
            <x14:dxf>
              <fill>
                <patternFill>
                  <bgColor theme="4"/>
                </patternFill>
              </fill>
            </x14:dxf>
          </x14:cfRule>
          <x14:cfRule type="expression" priority="886" id="{F6946600-38CD-43B1-8A6F-5BE4308A3878}">
            <xm:f>'SCIMP Plan'!$F$167=4</xm:f>
            <x14:dxf>
              <fill>
                <patternFill>
                  <bgColor theme="1"/>
                </patternFill>
              </fill>
            </x14:dxf>
          </x14:cfRule>
          <x14:cfRule type="expression" priority="887" id="{337CBE79-E8D1-4CE4-ADBA-25A4FA91945C}">
            <xm:f>'SCIMP Plan'!$F$167=3</xm:f>
            <x14:dxf>
              <fill>
                <patternFill>
                  <bgColor rgb="FFC00000"/>
                </patternFill>
              </fill>
            </x14:dxf>
          </x14:cfRule>
          <x14:cfRule type="expression" priority="888" id="{BC0F9ECC-5D80-458E-8C04-312CB657796D}">
            <xm:f>'SCIMP Plan'!$F$167=2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89" id="{BDB5F93F-B22B-4F8F-9C4F-B56432F1D437}">
            <xm:f>'SCIMP Plan'!$F$167=1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W37</xm:sqref>
        </x14:conditionalFormatting>
        <x14:conditionalFormatting xmlns:xm="http://schemas.microsoft.com/office/excel/2006/main">
          <x14:cfRule type="expression" priority="472" id="{926E5383-2EBF-4E6A-B000-05F017A99A36}">
            <xm:f>'SCIMP Plan'!$F$130="W"</xm:f>
            <x14:dxf>
              <fill>
                <patternFill>
                  <bgColor rgb="FF7030A0"/>
                </patternFill>
              </fill>
            </x14:dxf>
          </x14:cfRule>
          <x14:cfRule type="expression" priority="865" id="{DCCD5BD4-495D-45A9-A2D8-F796FAA251F4}">
            <xm:f>'SCIMP Plan'!$F$130="D"</xm:f>
            <x14:dxf>
              <fill>
                <patternFill>
                  <bgColor theme="4"/>
                </patternFill>
              </fill>
            </x14:dxf>
          </x14:cfRule>
          <x14:cfRule type="expression" priority="866" id="{A63A17B0-F1C7-4BF4-B088-9B3E38FBE8BB}">
            <xm:f>'SCIMP Plan'!$F$130=4</xm:f>
            <x14:dxf>
              <fill>
                <patternFill>
                  <bgColor theme="1"/>
                </patternFill>
              </fill>
            </x14:dxf>
          </x14:cfRule>
          <x14:cfRule type="expression" priority="867" id="{7D2ADB3C-5C17-445D-81EA-3B6A4794774A}">
            <xm:f>'SCIMP Plan'!$F$130=3</xm:f>
            <x14:dxf>
              <fill>
                <patternFill>
                  <bgColor rgb="FFC00000"/>
                </patternFill>
              </fill>
            </x14:dxf>
          </x14:cfRule>
          <x14:cfRule type="expression" priority="868" id="{4EC74312-2C26-401C-A28F-02EB3B477895}">
            <xm:f>'SCIMP Plan'!$F$130=2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69" id="{3C2C045A-B4B3-4641-898C-A2457E577B65}">
            <xm:f>'SCIMP Plan'!$F$130=1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W39</xm:sqref>
        </x14:conditionalFormatting>
        <x14:conditionalFormatting xmlns:xm="http://schemas.microsoft.com/office/excel/2006/main">
          <x14:cfRule type="expression" priority="470" id="{66F9FE5B-0E65-42E8-9248-2F7E66C9597E}">
            <xm:f>'SCIMP Plan'!$F$129="W"</xm:f>
            <x14:dxf>
              <fill>
                <patternFill>
                  <bgColor rgb="FF7030A0"/>
                </patternFill>
              </fill>
            </x14:dxf>
          </x14:cfRule>
          <x14:cfRule type="expression" priority="855" id="{0535D90B-B78B-4E8A-88BC-451D3DF60161}">
            <xm:f>'SCIMP Plan'!$F$129="D"</xm:f>
            <x14:dxf>
              <fill>
                <patternFill>
                  <bgColor theme="4"/>
                </patternFill>
              </fill>
            </x14:dxf>
          </x14:cfRule>
          <x14:cfRule type="expression" priority="856" id="{E6D151C9-22E6-4965-B24B-F3C4391E3532}">
            <xm:f>'SCIMP Plan'!$F$129=4</xm:f>
            <x14:dxf>
              <fill>
                <patternFill>
                  <bgColor theme="1"/>
                </patternFill>
              </fill>
            </x14:dxf>
          </x14:cfRule>
          <x14:cfRule type="expression" priority="857" id="{389DF8C0-0A31-4295-AC0A-8188B8F3636A}">
            <xm:f>'SCIMP Plan'!$F$129=3</xm:f>
            <x14:dxf>
              <fill>
                <patternFill>
                  <bgColor rgb="FFC00000"/>
                </patternFill>
              </fill>
            </x14:dxf>
          </x14:cfRule>
          <x14:cfRule type="expression" priority="858" id="{0ADC4F6F-EE36-41DA-9D8F-D45E4B6F932C}">
            <xm:f>'SCIMP Plan'!$F$129=2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59" id="{E1863785-2727-48BD-8EDE-A75A5529D15C}">
            <xm:f>'SCIMP Plan'!$F$129=1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W41</xm:sqref>
        </x14:conditionalFormatting>
        <x14:conditionalFormatting xmlns:xm="http://schemas.microsoft.com/office/excel/2006/main">
          <x14:cfRule type="expression" priority="170" id="{36661123-E7A2-4532-89C9-6A5301C461E5}">
            <xm:f>'SCIMP Plan'!$F$94="W"</xm:f>
            <x14:dxf>
              <fill>
                <patternFill>
                  <bgColor rgb="FF7030A0"/>
                </patternFill>
              </fill>
            </x14:dxf>
          </x14:cfRule>
          <x14:cfRule type="expression" priority="171" id="{43D7BFF3-1E7B-4CA0-8E88-D57F7FF0FE8C}">
            <xm:f>'SCIMP Plan'!$F$94="D"</xm:f>
            <x14:dxf>
              <fill>
                <patternFill>
                  <bgColor theme="4"/>
                </patternFill>
              </fill>
            </x14:dxf>
          </x14:cfRule>
          <x14:cfRule type="expression" priority="172" id="{22C324BD-A8A0-49AD-95D4-336B34C82607}">
            <xm:f>'SCIMP Plan'!$F$94=4</xm:f>
            <x14:dxf>
              <fill>
                <patternFill>
                  <bgColor theme="1"/>
                </patternFill>
              </fill>
            </x14:dxf>
          </x14:cfRule>
          <x14:cfRule type="expression" priority="173" id="{7A21444A-89C6-4355-A972-90AC58537159}">
            <xm:f>'SCIMP Plan'!$F$94=3</xm:f>
            <x14:dxf>
              <fill>
                <patternFill>
                  <bgColor rgb="FFC00000"/>
                </patternFill>
              </fill>
            </x14:dxf>
          </x14:cfRule>
          <x14:cfRule type="expression" priority="174" id="{F22E1BBD-02F2-4DAA-B60E-70B5C402BF63}">
            <xm:f>'SCIMP Plan'!$F$94=2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5" id="{078CD161-59A5-4DF0-A635-850DE812A020}">
            <xm:f>'SCIMP Plan'!$F$94=1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W43</xm:sqref>
        </x14:conditionalFormatting>
        <x14:conditionalFormatting xmlns:xm="http://schemas.microsoft.com/office/excel/2006/main">
          <x14:cfRule type="expression" priority="158" id="{12E7DEB7-E3B5-4243-91E0-10EAE454CB75}">
            <xm:f>'SCIMP Plan'!$F$155="W"</xm:f>
            <x14:dxf>
              <fill>
                <patternFill>
                  <bgColor rgb="FF7030A0"/>
                </patternFill>
              </fill>
            </x14:dxf>
          </x14:cfRule>
          <x14:cfRule type="expression" priority="159" id="{38E9BEF2-1875-4B9C-B8A4-18D2F2D9BADC}">
            <xm:f>'SCIMP Plan'!$F$155="D"</xm:f>
            <x14:dxf>
              <fill>
                <patternFill>
                  <bgColor theme="4"/>
                </patternFill>
              </fill>
            </x14:dxf>
          </x14:cfRule>
          <x14:cfRule type="expression" priority="160" id="{3C17D675-65B1-4C3A-9C05-A57AA3AB3444}">
            <xm:f>'SCIMP Plan'!$F$155=4</xm:f>
            <x14:dxf>
              <fill>
                <patternFill>
                  <bgColor theme="1"/>
                </patternFill>
              </fill>
            </x14:dxf>
          </x14:cfRule>
          <x14:cfRule type="expression" priority="161" id="{3A7CFA7E-83A2-47FE-8CDC-61E8B8C6A92B}">
            <xm:f>'SCIMP Plan'!$F$155=3</xm:f>
            <x14:dxf>
              <fill>
                <patternFill>
                  <bgColor rgb="FFC00000"/>
                </patternFill>
              </fill>
            </x14:dxf>
          </x14:cfRule>
          <x14:cfRule type="expression" priority="162" id="{7930FD93-B8F7-45E9-834C-5D66DA2F40D9}">
            <xm:f>'SCIMP Plan'!$F$155=2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3" id="{19F800D8-A46D-4FF5-AE24-CB2B10E1FF41}">
            <xm:f>'SCIMP Plan'!$F$155=1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W45</xm:sqref>
        </x14:conditionalFormatting>
        <x14:conditionalFormatting xmlns:xm="http://schemas.microsoft.com/office/excel/2006/main">
          <x14:cfRule type="expression" priority="464" id="{8CD93CCC-43E1-4354-8DC6-842637B5C14C}">
            <xm:f>'SCIMP Plan'!$F$166="W"</xm:f>
            <x14:dxf>
              <fill>
                <patternFill>
                  <bgColor rgb="FF7030A0"/>
                </patternFill>
              </fill>
            </x14:dxf>
          </x14:cfRule>
          <x14:cfRule type="expression" priority="835" id="{D244FA00-B6C0-4821-883F-4096A73F0CCA}">
            <xm:f>'SCIMP Plan'!$F$166="D"</xm:f>
            <x14:dxf>
              <fill>
                <patternFill>
                  <bgColor theme="4"/>
                </patternFill>
              </fill>
            </x14:dxf>
          </x14:cfRule>
          <x14:cfRule type="expression" priority="836" id="{C83691C6-EBBB-4415-8BDC-5649C3449A10}">
            <xm:f>'SCIMP Plan'!$F$166=4</xm:f>
            <x14:dxf>
              <fill>
                <patternFill>
                  <bgColor theme="1"/>
                </patternFill>
              </fill>
            </x14:dxf>
          </x14:cfRule>
          <x14:cfRule type="expression" priority="837" id="{697A714E-272A-4AF7-ACAB-C85869613191}">
            <xm:f>'SCIMP Plan'!$F$166=3</xm:f>
            <x14:dxf>
              <fill>
                <patternFill>
                  <bgColor rgb="FFC00000"/>
                </patternFill>
              </fill>
            </x14:dxf>
          </x14:cfRule>
          <x14:cfRule type="expression" priority="838" id="{1A0706D5-E708-48C3-83D3-09C15E492A58}">
            <xm:f>'SCIMP Plan'!$F$166=2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39" id="{E702D898-3CA2-4AD4-B025-C7FA3D49F667}">
            <xm:f>'SCIMP Plan'!$F$166=1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W48</xm:sqref>
        </x14:conditionalFormatting>
        <x14:conditionalFormatting xmlns:xm="http://schemas.microsoft.com/office/excel/2006/main">
          <x14:cfRule type="expression" priority="462" id="{1AD5EA61-0EA6-4088-9E91-CF6B20D81EF1}">
            <xm:f>'SCIMP Plan'!$F$168="W"</xm:f>
            <x14:dxf>
              <fill>
                <patternFill>
                  <bgColor rgb="FF7030A0"/>
                </patternFill>
              </fill>
            </x14:dxf>
          </x14:cfRule>
          <x14:cfRule type="expression" priority="820" id="{A0C4B18C-988C-4E8C-A61E-A1A0ECBDBF08}">
            <xm:f>'SCIMP Plan'!$F$168="D"</xm:f>
            <x14:dxf>
              <fill>
                <patternFill>
                  <bgColor theme="4"/>
                </patternFill>
              </fill>
            </x14:dxf>
          </x14:cfRule>
          <x14:cfRule type="expression" priority="821" id="{7BAAB282-8B1F-443C-9C7F-802A3EFE3353}">
            <xm:f>'SCIMP Plan'!$F$168=4</xm:f>
            <x14:dxf>
              <fill>
                <patternFill>
                  <bgColor theme="1"/>
                </patternFill>
              </fill>
            </x14:dxf>
          </x14:cfRule>
          <x14:cfRule type="expression" priority="822" id="{AE3D76A9-DB82-4746-837B-C7704A3E5D2C}">
            <xm:f>'SCIMP Plan'!$F$168=3</xm:f>
            <x14:dxf>
              <fill>
                <patternFill>
                  <bgColor rgb="FFC00000"/>
                </patternFill>
              </fill>
            </x14:dxf>
          </x14:cfRule>
          <x14:cfRule type="expression" priority="823" id="{01DC9C5F-214D-42C6-BDFA-35017C7935F8}">
            <xm:f>'SCIMP Plan'!$F$168=2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24" id="{99D7CDEC-A8BD-41B4-8D39-D63AD6E98C7F}">
            <xm:f>'SCIMP Plan'!$F$168=1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W50</xm:sqref>
        </x14:conditionalFormatting>
        <x14:conditionalFormatting xmlns:xm="http://schemas.microsoft.com/office/excel/2006/main">
          <x14:cfRule type="expression" priority="460" id="{517D45AD-974D-4BEB-BCF8-340FDCC63455}">
            <xm:f>'SCIMP Plan'!$F$170="W"</xm:f>
            <x14:dxf>
              <fill>
                <patternFill>
                  <bgColor rgb="FF7030A0"/>
                </patternFill>
              </fill>
            </x14:dxf>
          </x14:cfRule>
          <x14:cfRule type="expression" priority="810" id="{792AD2DD-751A-4551-A1D6-5A4ACC896E65}">
            <xm:f>'SCIMP Plan'!$F$170="D"</xm:f>
            <x14:dxf>
              <fill>
                <patternFill>
                  <bgColor theme="4"/>
                </patternFill>
              </fill>
            </x14:dxf>
          </x14:cfRule>
          <x14:cfRule type="expression" priority="811" id="{427AB228-08E1-45E3-84DB-659105CBC1EE}">
            <xm:f>'SCIMP Plan'!$F$170=4</xm:f>
            <x14:dxf>
              <fill>
                <patternFill>
                  <bgColor theme="1"/>
                </patternFill>
              </fill>
            </x14:dxf>
          </x14:cfRule>
          <x14:cfRule type="expression" priority="812" id="{D6C950CD-8B56-412A-9114-DC48F964CA07}">
            <xm:f>'SCIMP Plan'!$F$170=3</xm:f>
            <x14:dxf>
              <fill>
                <patternFill>
                  <bgColor rgb="FFC00000"/>
                </patternFill>
              </fill>
            </x14:dxf>
          </x14:cfRule>
          <x14:cfRule type="expression" priority="813" id="{4CC07C2B-088E-43D5-92CA-81F364DBB546}">
            <xm:f>'SCIMP Plan'!$F$170=2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14" id="{333C0F37-80AE-42B0-8C67-B617FD93DDB9}">
            <xm:f>'SCIMP Plan'!$F$170=1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W52</xm:sqref>
        </x14:conditionalFormatting>
        <x14:conditionalFormatting xmlns:xm="http://schemas.microsoft.com/office/excel/2006/main">
          <x14:cfRule type="expression" priority="458" id="{7467E435-3360-44B7-B6E7-B3FC5BDA264B}">
            <xm:f>'SCIMP Plan'!$F$173="W"</xm:f>
            <x14:dxf>
              <fill>
                <patternFill>
                  <bgColor rgb="FF7030A0"/>
                </patternFill>
              </fill>
            </x14:dxf>
          </x14:cfRule>
          <x14:cfRule type="expression" priority="800" id="{B0B7B440-6929-4919-BED3-96072801EF46}">
            <xm:f>'SCIMP Plan'!$F$173="D"</xm:f>
            <x14:dxf>
              <fill>
                <patternFill>
                  <bgColor theme="4"/>
                </patternFill>
              </fill>
            </x14:dxf>
          </x14:cfRule>
          <x14:cfRule type="expression" priority="801" id="{E8641FFE-D325-4619-98BD-C95E15ACC474}">
            <xm:f>'SCIMP Plan'!$F$173=4</xm:f>
            <x14:dxf>
              <fill>
                <patternFill>
                  <bgColor theme="1"/>
                </patternFill>
              </fill>
            </x14:dxf>
          </x14:cfRule>
          <x14:cfRule type="expression" priority="802" id="{A6ED15A9-AAD6-40A1-A39E-7C60581BC35F}">
            <xm:f>'SCIMP Plan'!$F$173=3</xm:f>
            <x14:dxf>
              <fill>
                <patternFill>
                  <bgColor rgb="FFC00000"/>
                </patternFill>
              </fill>
            </x14:dxf>
          </x14:cfRule>
          <x14:cfRule type="expression" priority="803" id="{46FCB62B-4911-4D51-BF75-B45DF1F11D32}">
            <xm:f>'SCIMP Plan'!$F$173=2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04" id="{587205F2-CAC2-4BDC-BD0A-C2847EAF71AD}">
            <xm:f>'SCIMP Plan'!$F$173=1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W54</xm:sqref>
        </x14:conditionalFormatting>
        <x14:conditionalFormatting xmlns:xm="http://schemas.microsoft.com/office/excel/2006/main">
          <x14:cfRule type="expression" priority="152" id="{FA4287F4-B91C-47A8-87A3-794F2DE2E77F}">
            <xm:f>'SCIMP Plan'!$F$211="W"</xm:f>
            <x14:dxf>
              <fill>
                <patternFill>
                  <bgColor rgb="FF7030A0"/>
                </patternFill>
              </fill>
            </x14:dxf>
          </x14:cfRule>
          <x14:cfRule type="expression" priority="153" id="{91727A15-D113-4B77-9FF1-D324CA1FF4C4}">
            <xm:f>'SCIMP Plan'!$F$211="D"</xm:f>
            <x14:dxf>
              <fill>
                <patternFill>
                  <bgColor theme="4"/>
                </patternFill>
              </fill>
            </x14:dxf>
          </x14:cfRule>
          <x14:cfRule type="expression" priority="154" id="{555C5BA4-B19B-42AE-99CB-D3ED4DC02E06}">
            <xm:f>'SCIMP Plan'!$F$211=4</xm:f>
            <x14:dxf>
              <fill>
                <patternFill>
                  <bgColor theme="1"/>
                </patternFill>
              </fill>
            </x14:dxf>
          </x14:cfRule>
          <x14:cfRule type="expression" priority="155" id="{98FAF5F6-367E-4FC6-8BC6-C78CA6382323}">
            <xm:f>'SCIMP Plan'!$F$211=3</xm:f>
            <x14:dxf>
              <fill>
                <patternFill>
                  <bgColor rgb="FFC00000"/>
                </patternFill>
              </fill>
            </x14:dxf>
          </x14:cfRule>
          <x14:cfRule type="expression" priority="156" id="{DC281F47-6A74-4FAB-BB38-5AD05288004F}">
            <xm:f>'SCIMP Plan'!$F$211=2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7" id="{0E1FF8EE-0165-4E8F-B2C3-FD93895D74C4}">
            <xm:f>'SCIMP Plan'!$F$211=1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AA12</xm:sqref>
        </x14:conditionalFormatting>
        <x14:conditionalFormatting xmlns:xm="http://schemas.microsoft.com/office/excel/2006/main">
          <x14:cfRule type="expression" priority="140" id="{840C05E5-880F-4364-B311-4D3A488EDFCE}">
            <xm:f>'SCIMP Plan'!$F$210="W"</xm:f>
            <x14:dxf>
              <fill>
                <patternFill>
                  <bgColor rgb="FF7030A0"/>
                </patternFill>
              </fill>
            </x14:dxf>
          </x14:cfRule>
          <x14:cfRule type="expression" priority="141" id="{E4BA4753-9E5C-421E-BAE8-B15B4F622480}">
            <xm:f>'SCIMP Plan'!$F$210="D"</xm:f>
            <x14:dxf>
              <fill>
                <patternFill>
                  <bgColor theme="4"/>
                </patternFill>
              </fill>
            </x14:dxf>
          </x14:cfRule>
          <x14:cfRule type="expression" priority="142" id="{AFA2D894-4611-4B2F-B68B-618E76297694}">
            <xm:f>'SCIMP Plan'!$F$210=4</xm:f>
            <x14:dxf>
              <fill>
                <patternFill>
                  <bgColor theme="1"/>
                </patternFill>
              </fill>
            </x14:dxf>
          </x14:cfRule>
          <x14:cfRule type="expression" priority="143" id="{5C0BC35C-6117-42BB-A16E-80E2FE843A95}">
            <xm:f>'SCIMP Plan'!$F$210=3</xm:f>
            <x14:dxf>
              <fill>
                <patternFill>
                  <bgColor rgb="FFC00000"/>
                </patternFill>
              </fill>
            </x14:dxf>
          </x14:cfRule>
          <x14:cfRule type="expression" priority="144" id="{4268B523-ECB9-4F60-8446-AAB98D8FBA01}">
            <xm:f>'SCIMP Plan'!$F$210=2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5" id="{4A2C79B4-8EC9-41B3-9833-A7496398C78B}">
            <xm:f>'SCIMP Plan'!$F$210=1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AA14</xm:sqref>
        </x14:conditionalFormatting>
        <x14:conditionalFormatting xmlns:xm="http://schemas.microsoft.com/office/excel/2006/main">
          <x14:cfRule type="expression" priority="452" id="{067060E3-07CB-49FA-8A36-35E686B8B564}">
            <xm:f>'SCIMP Plan'!$F$206="W"</xm:f>
            <x14:dxf>
              <fill>
                <patternFill>
                  <bgColor rgb="FF7030A0"/>
                </patternFill>
              </fill>
            </x14:dxf>
          </x14:cfRule>
          <x14:cfRule type="expression" priority="775" id="{2102DE2B-5948-4426-843B-E0C768B4FA9F}">
            <xm:f>'SCIMP Plan'!$F$206="D"</xm:f>
            <x14:dxf>
              <fill>
                <patternFill>
                  <bgColor theme="4"/>
                </patternFill>
              </fill>
            </x14:dxf>
          </x14:cfRule>
          <x14:cfRule type="expression" priority="776" id="{F3F6DF2F-6DA0-4512-B5D5-8EBEF1EA580B}">
            <xm:f>'SCIMP Plan'!$F$206=4</xm:f>
            <x14:dxf>
              <fill>
                <patternFill>
                  <bgColor theme="1"/>
                </patternFill>
              </fill>
            </x14:dxf>
          </x14:cfRule>
          <x14:cfRule type="expression" priority="777" id="{74D28642-A6D8-4D66-9B8E-F953B192D21F}">
            <xm:f>'SCIMP Plan'!$F$206=3</xm:f>
            <x14:dxf>
              <fill>
                <patternFill>
                  <bgColor rgb="FFC00000"/>
                </patternFill>
              </fill>
            </x14:dxf>
          </x14:cfRule>
          <x14:cfRule type="expression" priority="778" id="{60C7C69F-38D4-4E91-A675-B4D7ECC1A3D4}">
            <xm:f>'SCIMP Plan'!$F$206=2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79" id="{F2AA12ED-E124-4C18-A6F4-D3812A166D9B}">
            <xm:f>'SCIMP Plan'!$F$206=1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AA16</xm:sqref>
        </x14:conditionalFormatting>
        <x14:conditionalFormatting xmlns:xm="http://schemas.microsoft.com/office/excel/2006/main">
          <x14:cfRule type="expression" priority="450" id="{8D249CF0-88DE-4E4E-A928-8E0CAF60C869}">
            <xm:f>'SCIMP Plan'!$F$190="W"</xm:f>
            <x14:dxf>
              <fill>
                <patternFill>
                  <bgColor rgb="FF7030A0"/>
                </patternFill>
              </fill>
            </x14:dxf>
          </x14:cfRule>
          <x14:cfRule type="expression" priority="765" id="{9CE86600-C2FB-4CB1-AD08-968368328857}">
            <xm:f>'SCIMP Plan'!$F$190="D"</xm:f>
            <x14:dxf>
              <fill>
                <patternFill>
                  <bgColor theme="4"/>
                </patternFill>
              </fill>
            </x14:dxf>
          </x14:cfRule>
          <x14:cfRule type="expression" priority="766" id="{C6BE0FAA-F4C9-4799-8A25-984252AED73E}">
            <xm:f>'SCIMP Plan'!$F$190=4</xm:f>
            <x14:dxf>
              <fill>
                <patternFill>
                  <bgColor theme="1"/>
                </patternFill>
              </fill>
            </x14:dxf>
          </x14:cfRule>
          <x14:cfRule type="expression" priority="767" id="{A4E64749-7411-4105-B39A-12B4B8875089}">
            <xm:f>'SCIMP Plan'!$F$190=3</xm:f>
            <x14:dxf>
              <fill>
                <patternFill>
                  <bgColor rgb="FFC00000"/>
                </patternFill>
              </fill>
            </x14:dxf>
          </x14:cfRule>
          <x14:cfRule type="expression" priority="768" id="{E8C39289-51D7-41B5-A789-B5A0A77B5C1C}">
            <xm:f>'SCIMP Plan'!$F$190=2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69" id="{5EFFE85F-A97B-42C8-A403-E68EB5D0FC2D}">
            <xm:f>'SCIMP Plan'!$F$190=1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AA18</xm:sqref>
        </x14:conditionalFormatting>
        <x14:conditionalFormatting xmlns:xm="http://schemas.microsoft.com/office/excel/2006/main">
          <x14:cfRule type="expression" priority="448" id="{CA41C061-18BC-4A77-88CC-6BF85DE9F32A}">
            <xm:f>'SCIMP Plan'!$F220="W"</xm:f>
            <x14:dxf>
              <fill>
                <patternFill>
                  <bgColor rgb="FF7030A0"/>
                </patternFill>
              </fill>
            </x14:dxf>
          </x14:cfRule>
          <x14:cfRule type="expression" priority="1545" id="{72906F04-1C6D-4178-8E23-311948CC03F3}">
            <xm:f>'SCIMP Plan'!$F220="D"</xm:f>
            <x14:dxf>
              <fill>
                <patternFill>
                  <bgColor theme="4"/>
                </patternFill>
              </fill>
            </x14:dxf>
          </x14:cfRule>
          <x14:cfRule type="expression" priority="1546" id="{DE6804CA-BEC3-4736-9FC2-1CF2A30CC7A2}">
            <xm:f>'SCIMP Plan'!$F220=4</xm:f>
            <x14:dxf>
              <fill>
                <patternFill>
                  <bgColor theme="1"/>
                </patternFill>
              </fill>
            </x14:dxf>
          </x14:cfRule>
          <x14:cfRule type="expression" priority="1547" id="{26BDD077-6244-4374-9208-5230495455C5}">
            <xm:f>'SCIMP Plan'!$F220=3</xm:f>
            <x14:dxf>
              <fill>
                <patternFill>
                  <bgColor rgb="FFC00000"/>
                </patternFill>
              </fill>
            </x14:dxf>
          </x14:cfRule>
          <x14:cfRule type="expression" priority="1548" id="{EEDA172E-8F5C-477C-A04E-CE0F09B3769B}">
            <xm:f>'SCIMP Plan'!$F220=2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49" id="{49B0B0D9-43DE-44CB-A2D6-14C173CEF875}">
            <xm:f>'SCIMP Plan'!$F220=1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AA20</xm:sqref>
        </x14:conditionalFormatting>
        <x14:conditionalFormatting xmlns:xm="http://schemas.microsoft.com/office/excel/2006/main">
          <x14:cfRule type="expression" priority="1954" id="{984A60BE-0EDF-4A27-8EBC-5CA2C7BFE75A}">
            <xm:f>'SCIMP Plan'!$F$198="W"</xm:f>
            <x14:dxf>
              <fill>
                <patternFill>
                  <bgColor rgb="FF7030A0"/>
                </patternFill>
              </fill>
            </x14:dxf>
          </x14:cfRule>
          <x14:cfRule type="expression" priority="1955" id="{ED3C4388-3D09-419A-B6D7-72FA1C907C91}">
            <xm:f>'SCIMP Plan'!$F$198="D"</xm:f>
            <x14:dxf>
              <fill>
                <patternFill>
                  <bgColor theme="4"/>
                </patternFill>
              </fill>
            </x14:dxf>
          </x14:cfRule>
          <x14:cfRule type="expression" priority="1956" id="{6DF03CE8-0E82-40C9-B003-F0102904C0F7}">
            <xm:f>'SCIMP Plan'!$F$198=4</xm:f>
            <x14:dxf>
              <fill>
                <patternFill>
                  <bgColor theme="1"/>
                </patternFill>
              </fill>
            </x14:dxf>
          </x14:cfRule>
          <x14:cfRule type="expression" priority="1957" id="{89BEDA98-3197-4717-AC4A-FEC88B0B483D}">
            <xm:f>'SCIMP Plan'!$F$198=3</xm:f>
            <x14:dxf>
              <fill>
                <patternFill>
                  <bgColor rgb="FFC00000"/>
                </patternFill>
              </fill>
            </x14:dxf>
          </x14:cfRule>
          <x14:cfRule type="expression" priority="1958" id="{0E4FD9E9-41AB-4447-9B19-DF08CA910EB3}">
            <xm:f>'SCIMP Plan'!$F$198=2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59" id="{121802F2-2C83-44AC-B2D9-54BF7D8CA74F}">
            <xm:f>'SCIMP Plan'!$F$198=1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AA22</xm:sqref>
        </x14:conditionalFormatting>
        <x14:conditionalFormatting xmlns:xm="http://schemas.microsoft.com/office/excel/2006/main">
          <x14:cfRule type="expression" priority="444" id="{CA1180A1-1AD4-49DB-8787-D1866BC9ED24}">
            <xm:f>'SCIMP Plan'!$F$238="W"</xm:f>
            <x14:dxf>
              <fill>
                <patternFill>
                  <bgColor rgb="FF7030A0"/>
                </patternFill>
              </fill>
            </x14:dxf>
          </x14:cfRule>
          <x14:cfRule type="expression" priority="1440" id="{1343ABDA-E75F-4744-88F9-72F5FB7D366F}">
            <xm:f>'SCIMP Plan'!$F$238="D"</xm:f>
            <x14:dxf>
              <fill>
                <patternFill>
                  <bgColor theme="4"/>
                </patternFill>
              </fill>
            </x14:dxf>
          </x14:cfRule>
          <x14:cfRule type="expression" priority="1441" id="{C61B07E2-205B-459D-8641-B5DDC6129454}">
            <xm:f>'SCIMP Plan'!$F$238=4</xm:f>
            <x14:dxf>
              <fill>
                <patternFill>
                  <bgColor theme="1"/>
                </patternFill>
              </fill>
            </x14:dxf>
          </x14:cfRule>
          <x14:cfRule type="expression" priority="1442" id="{6EA5261D-6B8C-408A-B5BC-F432A771691A}">
            <xm:f>'SCIMP Plan'!$F$238=3</xm:f>
            <x14:dxf>
              <fill>
                <patternFill>
                  <bgColor rgb="FFC00000"/>
                </patternFill>
              </fill>
            </x14:dxf>
          </x14:cfRule>
          <x14:cfRule type="expression" priority="1443" id="{7F71F94D-9D58-4A79-AD82-09E0AB3D86EC}">
            <xm:f>'SCIMP Plan'!$F$238=2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44" id="{3313B79F-E141-450C-85F6-3D818411B822}">
            <xm:f>'SCIMP Plan'!$F$238=1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AA31</xm:sqref>
        </x14:conditionalFormatting>
        <x14:conditionalFormatting xmlns:xm="http://schemas.microsoft.com/office/excel/2006/main">
          <x14:cfRule type="expression" priority="442" id="{30881435-2421-4B36-949D-AA4F015BC406}">
            <xm:f>'SCIMP Plan'!$F$204="W"</xm:f>
            <x14:dxf>
              <fill>
                <patternFill>
                  <bgColor rgb="FF7030A0"/>
                </patternFill>
              </fill>
            </x14:dxf>
          </x14:cfRule>
          <x14:cfRule type="expression" priority="730" id="{12120424-3A1A-4F6E-863D-DD8D3B63B443}">
            <xm:f>'SCIMP Plan'!$F$204="D"</xm:f>
            <x14:dxf>
              <fill>
                <patternFill>
                  <bgColor theme="4"/>
                </patternFill>
              </fill>
            </x14:dxf>
          </x14:cfRule>
          <x14:cfRule type="expression" priority="731" id="{AEB0FD9B-B2FD-4F99-A2C2-04A0C07EABF9}">
            <xm:f>'SCIMP Plan'!$F$204=4</xm:f>
            <x14:dxf>
              <fill>
                <patternFill>
                  <bgColor theme="1"/>
                </patternFill>
              </fill>
            </x14:dxf>
          </x14:cfRule>
          <x14:cfRule type="expression" priority="732" id="{399A8C9C-156E-47D4-985B-8242234D8E4E}">
            <xm:f>'SCIMP Plan'!$F$204=3</xm:f>
            <x14:dxf>
              <fill>
                <patternFill>
                  <bgColor rgb="FFC00000"/>
                </patternFill>
              </fill>
            </x14:dxf>
          </x14:cfRule>
          <x14:cfRule type="expression" priority="733" id="{33CF52B2-D097-4DB4-AE8E-A90123DBB624}">
            <xm:f>'SCIMP Plan'!$F$204=2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34" id="{4A8CCF14-B15E-45D1-A601-80E04BA2F11E}">
            <xm:f>'SCIMP Plan'!$F$204=1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AA33</xm:sqref>
        </x14:conditionalFormatting>
        <x14:conditionalFormatting xmlns:xm="http://schemas.microsoft.com/office/excel/2006/main">
          <x14:cfRule type="expression" priority="440" id="{73656AEE-5B99-4FF1-9386-05231BBC7DFC}">
            <xm:f>'SCIMP Plan'!$F$214="W"</xm:f>
            <x14:dxf>
              <fill>
                <patternFill>
                  <bgColor rgb="FF7030A0"/>
                </patternFill>
              </fill>
            </x14:dxf>
          </x14:cfRule>
          <x14:cfRule type="expression" priority="720" id="{817B67F0-F175-48B5-A042-1EB7F57FB09A}">
            <xm:f>'SCIMP Plan'!$F$214="D"</xm:f>
            <x14:dxf>
              <fill>
                <patternFill>
                  <bgColor theme="4"/>
                </patternFill>
              </fill>
            </x14:dxf>
          </x14:cfRule>
          <x14:cfRule type="expression" priority="721" id="{BDEDA0E3-CAB7-4EA7-AAD0-214750FFF0A7}">
            <xm:f>'SCIMP Plan'!$F$214=4</xm:f>
            <x14:dxf>
              <fill>
                <patternFill>
                  <bgColor theme="1"/>
                </patternFill>
              </fill>
            </x14:dxf>
          </x14:cfRule>
          <x14:cfRule type="expression" priority="722" id="{28DEFB35-5BC6-41BD-B692-E75B4CA6725B}">
            <xm:f>'SCIMP Plan'!$F$214=3</xm:f>
            <x14:dxf>
              <fill>
                <patternFill>
                  <bgColor rgb="FFC00000"/>
                </patternFill>
              </fill>
            </x14:dxf>
          </x14:cfRule>
          <x14:cfRule type="expression" priority="723" id="{8B04B3C3-2320-4ABB-BE15-9285C54C95AB}">
            <xm:f>'SCIMP Plan'!$F$214=2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24" id="{933204B8-ECD8-47F8-8F02-2157B12D6FE6}">
            <xm:f>'SCIMP Plan'!$F$214=1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AA35</xm:sqref>
        </x14:conditionalFormatting>
        <x14:conditionalFormatting xmlns:xm="http://schemas.microsoft.com/office/excel/2006/main">
          <x14:cfRule type="expression" priority="438" id="{0391F525-B052-46B0-B7F4-9FF58BC33102}">
            <xm:f>'SCIMP Plan'!$F$194="W"</xm:f>
            <x14:dxf>
              <fill>
                <patternFill>
                  <bgColor rgb="FF7030A0"/>
                </patternFill>
              </fill>
            </x14:dxf>
          </x14:cfRule>
          <x14:cfRule type="expression" priority="700" id="{9F42D67D-9140-417D-881E-2018D7D96F61}">
            <xm:f>'SCIMP Plan'!$F$194="D"</xm:f>
            <x14:dxf>
              <fill>
                <patternFill>
                  <bgColor theme="4"/>
                </patternFill>
              </fill>
            </x14:dxf>
          </x14:cfRule>
          <x14:cfRule type="expression" priority="701" id="{AF52B4C7-1F56-43C0-B67F-6788D559A112}">
            <xm:f>'SCIMP Plan'!$F$194=4</xm:f>
            <x14:dxf>
              <fill>
                <patternFill>
                  <bgColor theme="1"/>
                </patternFill>
              </fill>
            </x14:dxf>
          </x14:cfRule>
          <x14:cfRule type="expression" priority="702" id="{FE17D609-00E5-4D9A-95AA-CD44724C726E}">
            <xm:f>'SCIMP Plan'!$F$194=3</xm:f>
            <x14:dxf>
              <fill>
                <patternFill>
                  <bgColor rgb="FFC00000"/>
                </patternFill>
              </fill>
            </x14:dxf>
          </x14:cfRule>
          <x14:cfRule type="expression" priority="703" id="{FB67D752-471F-4C42-9CC1-77668524486D}">
            <xm:f>'SCIMP Plan'!$F$194=2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04" id="{662FFF85-0750-4656-92BE-B38F07A19734}">
            <xm:f>'SCIMP Plan'!$F$194=1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AA37</xm:sqref>
        </x14:conditionalFormatting>
        <x14:conditionalFormatting xmlns:xm="http://schemas.microsoft.com/office/excel/2006/main">
          <x14:cfRule type="expression" priority="436" id="{B2377AF0-F21D-457B-9C30-DEB569AC2F68}">
            <xm:f>'SCIMP Plan'!$F$189="W"</xm:f>
            <x14:dxf>
              <fill>
                <patternFill>
                  <bgColor rgb="FF7030A0"/>
                </patternFill>
              </fill>
            </x14:dxf>
          </x14:cfRule>
          <x14:cfRule type="expression" priority="1455" id="{F7D08F1C-EECD-4F51-B3D9-1EE5486A493E}">
            <xm:f>'SCIMP Plan'!$F$189="D"</xm:f>
            <x14:dxf>
              <fill>
                <patternFill>
                  <bgColor theme="4"/>
                </patternFill>
              </fill>
            </x14:dxf>
          </x14:cfRule>
          <x14:cfRule type="expression" priority="1456" id="{20BE63B9-7D6B-4862-AFBD-1BA553709058}">
            <xm:f>'SCIMP Plan'!$F$189=4</xm:f>
            <x14:dxf>
              <fill>
                <patternFill>
                  <bgColor theme="1"/>
                </patternFill>
              </fill>
            </x14:dxf>
          </x14:cfRule>
          <x14:cfRule type="expression" priority="1457" id="{76A0AF9B-4CA5-44A7-B76E-620B498AEF20}">
            <xm:f>'SCIMP Plan'!$F$189=3</xm:f>
            <x14:dxf>
              <fill>
                <patternFill>
                  <bgColor rgb="FFC00000"/>
                </patternFill>
              </fill>
            </x14:dxf>
          </x14:cfRule>
          <x14:cfRule type="expression" priority="1458" id="{3428A43E-CFE3-4ADB-B2F6-42AA4C5A8EFE}">
            <xm:f>'SCIMP Plan'!$F$189=2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59" id="{74CA7724-1ECF-4536-AFAB-F8976A183464}">
            <xm:f>'SCIMP Plan'!$F$189=1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AA39</xm:sqref>
        </x14:conditionalFormatting>
        <x14:conditionalFormatting xmlns:xm="http://schemas.microsoft.com/office/excel/2006/main">
          <x14:cfRule type="expression" priority="13" id="{EEC3FA34-DD56-4B26-98E7-DA5EE37E6E71}">
            <xm:f>'SCIMP Plan'!$F$221="W"</xm:f>
            <x14:dxf>
              <fill>
                <patternFill>
                  <bgColor rgb="FF7030A0"/>
                </patternFill>
              </fill>
            </x14:dxf>
          </x14:cfRule>
          <x14:cfRule type="expression" priority="14" id="{42A002F3-B4CF-4273-B0F5-451D88B14D32}">
            <xm:f>'SCIMP Plan'!$F$221="D"</xm:f>
            <x14:dxf>
              <fill>
                <patternFill>
                  <bgColor theme="4"/>
                </patternFill>
              </fill>
            </x14:dxf>
          </x14:cfRule>
          <x14:cfRule type="expression" priority="15" id="{F2B2EB84-F237-4F39-A897-B9703A8EB113}">
            <xm:f>'SCIMP Plan'!$F$221=4</xm:f>
            <x14:dxf>
              <fill>
                <patternFill>
                  <bgColor theme="1"/>
                </patternFill>
              </fill>
            </x14:dxf>
          </x14:cfRule>
          <x14:cfRule type="expression" priority="16" id="{2331B3E7-D0A9-4673-B5BE-44D1F8428CDF}">
            <xm:f>'SCIMP Plan'!$F$221=3</xm:f>
            <x14:dxf>
              <fill>
                <patternFill>
                  <bgColor rgb="FFC00000"/>
                </patternFill>
              </fill>
            </x14:dxf>
          </x14:cfRule>
          <x14:cfRule type="expression" priority="17" id="{42876EFD-7BA4-49FD-937A-279FBCAB1B17}">
            <xm:f>'SCIMP Plan'!$F$221=2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 id="{CE37D446-1068-4B99-A733-F19738CF6C8B}">
            <xm:f>'SCIMP Plan'!$F$221=1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AA41</xm:sqref>
        </x14:conditionalFormatting>
        <x14:conditionalFormatting xmlns:xm="http://schemas.microsoft.com/office/excel/2006/main">
          <x14:cfRule type="expression" priority="19" id="{23E6A777-20DA-47DA-80D5-211BE8BFDE5B}">
            <xm:f>'SCIMP Plan'!$F$237="W"</xm:f>
            <x14:dxf>
              <fill>
                <patternFill>
                  <bgColor rgb="FF7030A0"/>
                </patternFill>
              </fill>
            </x14:dxf>
          </x14:cfRule>
          <x14:cfRule type="expression" priority="20" id="{DA990C4C-5F07-4FF1-B6DF-50D0D134A3E9}">
            <xm:f>'SCIMP Plan'!$F$237="D"</xm:f>
            <x14:dxf>
              <fill>
                <patternFill>
                  <bgColor theme="4"/>
                </patternFill>
              </fill>
            </x14:dxf>
          </x14:cfRule>
          <x14:cfRule type="expression" priority="21" id="{1E44B757-A622-412F-A387-C7B79FC2CCE7}">
            <xm:f>'SCIMP Plan'!$F$237=4</xm:f>
            <x14:dxf>
              <fill>
                <patternFill>
                  <bgColor theme="1"/>
                </patternFill>
              </fill>
            </x14:dxf>
          </x14:cfRule>
          <x14:cfRule type="expression" priority="22" id="{7287C164-E63D-4B16-848C-F26BE85EDC0A}">
            <xm:f>'SCIMP Plan'!$F$237=3</xm:f>
            <x14:dxf>
              <fill>
                <patternFill>
                  <bgColor rgb="FFC00000"/>
                </patternFill>
              </fill>
            </x14:dxf>
          </x14:cfRule>
          <x14:cfRule type="expression" priority="23" id="{83AD3A4A-5397-4B7D-91C1-2D38C675EFD6}">
            <xm:f>'SCIMP Plan'!$F$237=2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4" id="{5D727172-ABF2-4874-A477-3A3AAC08F307}">
            <xm:f>'SCIMP Plan'!$F$237=1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AA43</xm:sqref>
        </x14:conditionalFormatting>
        <x14:conditionalFormatting xmlns:xm="http://schemas.microsoft.com/office/excel/2006/main">
          <x14:cfRule type="expression" priority="432" id="{2A1117A0-4A4F-4D1B-9EE8-191B1A382661}">
            <xm:f>'SCIMP Plan'!$F$188="W"</xm:f>
            <x14:dxf>
              <fill>
                <patternFill>
                  <bgColor rgb="FF7030A0"/>
                </patternFill>
              </fill>
            </x14:dxf>
          </x14:cfRule>
          <x14:cfRule type="expression" priority="680" id="{D92081A3-B065-4326-8B2F-1001AA206BFE}">
            <xm:f>'SCIMP Plan'!$F$188="D"</xm:f>
            <x14:dxf>
              <fill>
                <patternFill>
                  <bgColor theme="4"/>
                </patternFill>
              </fill>
            </x14:dxf>
          </x14:cfRule>
          <x14:cfRule type="expression" priority="681" id="{065F2391-6B1E-4A02-9A2C-8DAF6E95BBEC}">
            <xm:f>'SCIMP Plan'!$F$188=4</xm:f>
            <x14:dxf>
              <fill>
                <patternFill>
                  <bgColor theme="1"/>
                </patternFill>
              </fill>
            </x14:dxf>
          </x14:cfRule>
          <x14:cfRule type="expression" priority="682" id="{6369DAA9-CE5B-43B7-B373-6C959A515E61}">
            <xm:f>'SCIMP Plan'!$F$188=3</xm:f>
            <x14:dxf>
              <fill>
                <patternFill>
                  <bgColor rgb="FFC00000"/>
                </patternFill>
              </fill>
            </x14:dxf>
          </x14:cfRule>
          <x14:cfRule type="expression" priority="683" id="{04938B47-0A3F-40B0-B7C6-D4DBBAA920DE}">
            <xm:f>'SCIMP Plan'!$F$188=2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84" id="{A3446F75-D058-458C-9779-8A29057871A7}">
            <xm:f>'SCIMP Plan'!$F$188=1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AA48</xm:sqref>
        </x14:conditionalFormatting>
        <x14:conditionalFormatting xmlns:xm="http://schemas.microsoft.com/office/excel/2006/main">
          <x14:cfRule type="expression" priority="430" id="{3B535FC1-2338-40D1-B5C7-077FE4062959}">
            <xm:f>'SCIMP Plan'!$F$199="W"</xm:f>
            <x14:dxf>
              <fill>
                <patternFill>
                  <bgColor rgb="FF7030A0"/>
                </patternFill>
              </fill>
            </x14:dxf>
          </x14:cfRule>
          <x14:cfRule type="expression" priority="670" id="{99A872B8-D163-41A7-9A49-65EDA3AF019E}">
            <xm:f>'SCIMP Plan'!$F$199="D"</xm:f>
            <x14:dxf>
              <fill>
                <patternFill>
                  <bgColor theme="4"/>
                </patternFill>
              </fill>
            </x14:dxf>
          </x14:cfRule>
          <x14:cfRule type="expression" priority="671" id="{915EB2E3-853A-455A-AB20-25AADF34BC37}">
            <xm:f>'SCIMP Plan'!$F$199=4</xm:f>
            <x14:dxf>
              <fill>
                <patternFill>
                  <bgColor theme="1"/>
                </patternFill>
              </fill>
            </x14:dxf>
          </x14:cfRule>
          <x14:cfRule type="expression" priority="672" id="{9653E522-1C29-475D-8C53-5AC1BC53D6F0}">
            <xm:f>'SCIMP Plan'!$F$199=3</xm:f>
            <x14:dxf>
              <fill>
                <patternFill>
                  <bgColor rgb="FFC00000"/>
                </patternFill>
              </fill>
            </x14:dxf>
          </x14:cfRule>
          <x14:cfRule type="expression" priority="673" id="{9944875A-5BFD-4743-BA70-2C9FF20F9E06}">
            <xm:f>'SCIMP Plan'!$F$199=2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74" id="{8323AF51-F62E-489F-B71F-01BA8795D770}">
            <xm:f>'SCIMP Plan'!$F$199=1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AA50</xm:sqref>
        </x14:conditionalFormatting>
        <x14:conditionalFormatting xmlns:xm="http://schemas.microsoft.com/office/excel/2006/main">
          <x14:cfRule type="expression" priority="428" id="{980B49E4-0464-45D8-A848-A82B2B601FD1}">
            <xm:f>'SCIMP Plan'!$F$213="W"</xm:f>
            <x14:dxf>
              <fill>
                <patternFill>
                  <bgColor rgb="FF7030A0"/>
                </patternFill>
              </fill>
            </x14:dxf>
          </x14:cfRule>
          <x14:cfRule type="expression" priority="660" id="{B9B1A1F6-FB2A-4C65-8796-0400F97F692F}">
            <xm:f>'SCIMP Plan'!$F$213="D"</xm:f>
            <x14:dxf>
              <fill>
                <patternFill>
                  <bgColor theme="4"/>
                </patternFill>
              </fill>
            </x14:dxf>
          </x14:cfRule>
          <x14:cfRule type="expression" priority="661" id="{23C0CFC4-2784-46FC-A6CD-7CA1B6771AB7}">
            <xm:f>'SCIMP Plan'!$F$213=4</xm:f>
            <x14:dxf>
              <fill>
                <patternFill>
                  <bgColor theme="1"/>
                </patternFill>
              </fill>
            </x14:dxf>
          </x14:cfRule>
          <x14:cfRule type="expression" priority="662" id="{A31BBA31-BB66-4EB0-8AB7-22AD003E8C64}">
            <xm:f>'SCIMP Plan'!$F$213=3</xm:f>
            <x14:dxf>
              <fill>
                <patternFill>
                  <bgColor rgb="FFC00000"/>
                </patternFill>
              </fill>
            </x14:dxf>
          </x14:cfRule>
          <x14:cfRule type="expression" priority="663" id="{2936C5FE-F6FF-428E-8377-AEB906011875}">
            <xm:f>'SCIMP Plan'!$F$213=2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64" id="{134389A4-DFCD-455B-8DE1-ABC8BD837F60}">
            <xm:f>'SCIMP Plan'!$F$213=1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AA52</xm:sqref>
        </x14:conditionalFormatting>
        <x14:conditionalFormatting xmlns:xm="http://schemas.microsoft.com/office/excel/2006/main">
          <x14:cfRule type="expression" priority="1690" id="{86EC441C-E0A9-4E84-AB0E-63C914692DB0}">
            <xm:f>'SCIMP Plan'!$F$197="W"</xm:f>
            <x14:dxf>
              <fill>
                <patternFill>
                  <bgColor rgb="FF7030A0"/>
                </patternFill>
              </fill>
            </x14:dxf>
          </x14:cfRule>
          <x14:cfRule type="expression" priority="1691" id="{6019BEC0-F543-4F8A-B196-DACC554C1751}">
            <xm:f>'SCIMP Plan'!$F$197="D"</xm:f>
            <x14:dxf>
              <fill>
                <patternFill>
                  <bgColor theme="4"/>
                </patternFill>
              </fill>
            </x14:dxf>
          </x14:cfRule>
          <x14:cfRule type="expression" priority="1692" id="{0DA2AC5D-18E3-436F-AC12-5D1BF23A3A0C}">
            <xm:f>'SCIMP Plan'!$F$197=4</xm:f>
            <x14:dxf>
              <fill>
                <patternFill>
                  <bgColor theme="1"/>
                </patternFill>
              </fill>
            </x14:dxf>
          </x14:cfRule>
          <x14:cfRule type="expression" priority="1693" id="{627C26B4-8956-49C5-AD65-90F79CD57E43}">
            <xm:f>'SCIMP Plan'!$F$197=3</xm:f>
            <x14:dxf>
              <fill>
                <patternFill>
                  <bgColor rgb="FFC00000"/>
                </patternFill>
              </fill>
            </x14:dxf>
          </x14:cfRule>
          <x14:cfRule type="expression" priority="1694" id="{95912F16-E913-4CB3-9049-F8BCF2450B62}">
            <xm:f>'SCIMP Plan'!$F$197=2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95" id="{ED84AFF4-D963-4768-A395-3122A53D396D}">
            <xm:f>'SCIMP Plan'!$F$197=1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AA54</xm:sqref>
        </x14:conditionalFormatting>
        <x14:conditionalFormatting xmlns:xm="http://schemas.microsoft.com/office/excel/2006/main">
          <x14:cfRule type="expression" priority="424" id="{9686581E-DDAB-4606-BCBD-80208931D7C7}">
            <xm:f>'SCIMP Plan'!$F$186="W"</xm:f>
            <x14:dxf>
              <fill>
                <patternFill>
                  <bgColor rgb="FF7030A0"/>
                </patternFill>
              </fill>
            </x14:dxf>
          </x14:cfRule>
          <x14:cfRule type="expression" priority="640" id="{B233AC4B-3697-4259-958F-AD460C7C9AC9}">
            <xm:f>'SCIMP Plan'!$F$186="D"</xm:f>
            <x14:dxf>
              <fill>
                <patternFill>
                  <bgColor theme="4"/>
                </patternFill>
              </fill>
            </x14:dxf>
          </x14:cfRule>
          <x14:cfRule type="expression" priority="641" id="{38E7F55A-47D9-48D7-BFA1-514ACF3E7686}">
            <xm:f>'SCIMP Plan'!$F$186=4</xm:f>
            <x14:dxf>
              <fill>
                <patternFill>
                  <bgColor theme="1"/>
                </patternFill>
              </fill>
            </x14:dxf>
          </x14:cfRule>
          <x14:cfRule type="expression" priority="642" id="{06AC7726-1757-4835-AC47-D30E20EF81E4}">
            <xm:f>'SCIMP Plan'!$F$186=3</xm:f>
            <x14:dxf>
              <fill>
                <patternFill>
                  <bgColor rgb="FFC00000"/>
                </patternFill>
              </fill>
            </x14:dxf>
          </x14:cfRule>
          <x14:cfRule type="expression" priority="643" id="{162055FB-1E2E-4BAF-B455-022664B0D42B}">
            <xm:f>'SCIMP Plan'!$F$186=2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44" id="{2FFB226C-9CE3-4FBC-A6E5-8C102218DEEE}">
            <xm:f>'SCIMP Plan'!$F$186=1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AA56</xm:sqref>
        </x14:conditionalFormatting>
        <x14:conditionalFormatting xmlns:xm="http://schemas.microsoft.com/office/excel/2006/main">
          <x14:cfRule type="expression" priority="146" id="{6566AAD5-5C11-40D2-8E53-8A9666FDA4FE}">
            <xm:f>'SCIMP Plan'!$F$235="W"</xm:f>
            <x14:dxf>
              <fill>
                <patternFill>
                  <bgColor rgb="FF7030A0"/>
                </patternFill>
              </fill>
            </x14:dxf>
          </x14:cfRule>
          <x14:cfRule type="expression" priority="147" id="{0FCA2801-358D-4F4A-B708-DA5A9DA325E1}">
            <xm:f>'SCIMP Plan'!$F$235="D"</xm:f>
            <x14:dxf>
              <fill>
                <patternFill>
                  <bgColor theme="4"/>
                </patternFill>
              </fill>
            </x14:dxf>
          </x14:cfRule>
          <x14:cfRule type="expression" priority="148" id="{6D6B9B00-F688-4486-AEF7-93F8E7C704DE}">
            <xm:f>'SCIMP Plan'!$F$235=4</xm:f>
            <x14:dxf>
              <fill>
                <patternFill>
                  <bgColor theme="1"/>
                </patternFill>
              </fill>
            </x14:dxf>
          </x14:cfRule>
          <x14:cfRule type="expression" priority="149" id="{2803940C-90AF-4661-9137-A5D05838DF66}">
            <xm:f>'SCIMP Plan'!$F$235=3</xm:f>
            <x14:dxf>
              <fill>
                <patternFill>
                  <bgColor rgb="FFC00000"/>
                </patternFill>
              </fill>
            </x14:dxf>
          </x14:cfRule>
          <x14:cfRule type="expression" priority="150" id="{8B6169EE-65D4-4F99-912C-7E4FCADAA55A}">
            <xm:f>'SCIMP Plan'!$F$235=2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1" id="{1EA2643F-E5E8-49D7-8CB7-8CE1AB708398}">
            <xm:f>'SCIMP Plan'!$F$235=1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AD12</xm:sqref>
        </x14:conditionalFormatting>
        <x14:conditionalFormatting xmlns:xm="http://schemas.microsoft.com/office/excel/2006/main">
          <x14:cfRule type="expression" priority="134" id="{171CE23F-095F-439C-8C96-70A3E094D761}">
            <xm:f>'SCIMP Plan'!$F$212="W"</xm:f>
            <x14:dxf>
              <fill>
                <patternFill>
                  <bgColor rgb="FF7030A0"/>
                </patternFill>
              </fill>
            </x14:dxf>
          </x14:cfRule>
          <x14:cfRule type="expression" priority="135" id="{31EEF8AA-03C5-4BF6-AD8A-06CA92A89B04}">
            <xm:f>'SCIMP Plan'!$F$212="D"</xm:f>
            <x14:dxf>
              <fill>
                <patternFill>
                  <bgColor theme="4"/>
                </patternFill>
              </fill>
            </x14:dxf>
          </x14:cfRule>
          <x14:cfRule type="expression" priority="136" id="{A2D94499-EEE8-4DAE-8331-3A09CD62B19C}">
            <xm:f>'SCIMP Plan'!$F$212=4</xm:f>
            <x14:dxf>
              <fill>
                <patternFill>
                  <bgColor theme="1"/>
                </patternFill>
              </fill>
            </x14:dxf>
          </x14:cfRule>
          <x14:cfRule type="expression" priority="137" id="{28F50E4E-75B7-4A07-A85E-2DC499630FAF}">
            <xm:f>'SCIMP Plan'!$F$212=3</xm:f>
            <x14:dxf>
              <fill>
                <patternFill>
                  <bgColor rgb="FFC00000"/>
                </patternFill>
              </fill>
            </x14:dxf>
          </x14:cfRule>
          <x14:cfRule type="expression" priority="138" id="{63289C37-2E61-4570-AC60-6DD500CDAE44}">
            <xm:f>'SCIMP Plan'!$F$212=2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9" id="{E5DA5389-9B8D-4EA0-B7B5-E3E3753C13AC}">
            <xm:f>'SCIMP Plan'!$F$212=1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AD14</xm:sqref>
        </x14:conditionalFormatting>
        <x14:conditionalFormatting xmlns:xm="http://schemas.microsoft.com/office/excel/2006/main">
          <x14:cfRule type="expression" priority="451" id="{BF5777F1-F59F-4B3E-A989-5DBF45C00C82}">
            <xm:f>'SCIMP Plan'!$F$234="W"</xm:f>
            <x14:dxf>
              <fill>
                <patternFill>
                  <bgColor rgb="FF7030A0"/>
                </patternFill>
              </fill>
            </x14:dxf>
          </x14:cfRule>
          <x14:cfRule type="expression" priority="1490" id="{A978DC36-6BF7-4750-9BAF-6E50A485F2BC}">
            <xm:f>'SCIMP Plan'!$F$234="D"</xm:f>
            <x14:dxf>
              <fill>
                <patternFill>
                  <bgColor theme="4"/>
                </patternFill>
              </fill>
            </x14:dxf>
          </x14:cfRule>
          <x14:cfRule type="expression" priority="1491" id="{B8B0269D-00F7-4A1A-905D-568C81090984}">
            <xm:f>'SCIMP Plan'!$F$234=4</xm:f>
            <x14:dxf>
              <fill>
                <patternFill>
                  <bgColor theme="1"/>
                </patternFill>
              </fill>
            </x14:dxf>
          </x14:cfRule>
          <x14:cfRule type="expression" priority="1492" id="{DDD25528-1A05-49C0-92C2-C8589F4898CB}">
            <xm:f>'SCIMP Plan'!$F$234=3</xm:f>
            <x14:dxf>
              <fill>
                <patternFill>
                  <bgColor rgb="FFC00000"/>
                </patternFill>
              </fill>
            </x14:dxf>
          </x14:cfRule>
          <x14:cfRule type="expression" priority="1493" id="{539E1292-BAE2-4B1B-BFA2-B136898F7A6B}">
            <xm:f>'SCIMP Plan'!$F$234=2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94" id="{C0AB72C4-FCDC-416B-ADF4-D1A461C13963}">
            <xm:f>'SCIMP Plan'!$F$234=1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AD16</xm:sqref>
        </x14:conditionalFormatting>
        <x14:conditionalFormatting xmlns:xm="http://schemas.microsoft.com/office/excel/2006/main">
          <x14:cfRule type="expression" priority="449" id="{62D7D6DC-0309-4FAD-A335-25608FCE4105}">
            <xm:f>'SCIMP Plan'!$F$191="W"</xm:f>
            <x14:dxf>
              <fill>
                <patternFill>
                  <bgColor rgb="FF7030A0"/>
                </patternFill>
              </fill>
            </x14:dxf>
          </x14:cfRule>
          <x14:cfRule type="expression" priority="760" id="{C48323DC-A067-4BA4-98F0-B88F9885A14A}">
            <xm:f>'SCIMP Plan'!$F$191="D"</xm:f>
            <x14:dxf>
              <fill>
                <patternFill>
                  <bgColor theme="4"/>
                </patternFill>
              </fill>
            </x14:dxf>
          </x14:cfRule>
          <x14:cfRule type="expression" priority="761" id="{613D319B-930C-429B-85E8-A1F7C6900BD7}">
            <xm:f>'SCIMP Plan'!$F$191=4</xm:f>
            <x14:dxf>
              <fill>
                <patternFill>
                  <bgColor theme="1"/>
                </patternFill>
              </fill>
            </x14:dxf>
          </x14:cfRule>
          <x14:cfRule type="expression" priority="762" id="{818289A8-E335-499E-97B5-4283D8927418}">
            <xm:f>'SCIMP Plan'!$F$191=3</xm:f>
            <x14:dxf>
              <fill>
                <patternFill>
                  <bgColor rgb="FFC00000"/>
                </patternFill>
              </fill>
            </x14:dxf>
          </x14:cfRule>
          <x14:cfRule type="expression" priority="763" id="{2C6F8A3F-C459-458D-A2F4-DD12AC23A1FF}">
            <xm:f>'SCIMP Plan'!$F$191=2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64" id="{64B0F935-0AD1-474D-9B3A-8211221AB964}">
            <xm:f>'SCIMP Plan'!$F$191=1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AD18</xm:sqref>
        </x14:conditionalFormatting>
        <x14:conditionalFormatting xmlns:xm="http://schemas.microsoft.com/office/excel/2006/main">
          <x14:cfRule type="expression" priority="447" id="{00670094-E4EA-49F3-9213-7C12878E870A}">
            <xm:f>'SCIMP Plan'!$F$240="W"</xm:f>
            <x14:dxf>
              <fill>
                <patternFill>
                  <bgColor rgb="FF7030A0"/>
                </patternFill>
              </fill>
            </x14:dxf>
          </x14:cfRule>
          <x14:cfRule type="expression" priority="1420" id="{731FE0CA-72F0-4B60-B6EC-EC50994487BB}">
            <xm:f>'SCIMP Plan'!$F$240="D"</xm:f>
            <x14:dxf>
              <fill>
                <patternFill>
                  <bgColor theme="4"/>
                </patternFill>
              </fill>
            </x14:dxf>
          </x14:cfRule>
          <x14:cfRule type="expression" priority="1421" id="{6BE872E0-A260-4FD8-AA6E-D36455050E38}">
            <xm:f>'SCIMP Plan'!$F$240=4</xm:f>
            <x14:dxf>
              <fill>
                <patternFill>
                  <bgColor theme="1"/>
                </patternFill>
              </fill>
            </x14:dxf>
          </x14:cfRule>
          <x14:cfRule type="expression" priority="1422" id="{A5BB068C-05AC-48BB-9923-80570EF1FD6F}">
            <xm:f>'SCIMP Plan'!$F$240=3</xm:f>
            <x14:dxf>
              <fill>
                <patternFill>
                  <bgColor rgb="FFC00000"/>
                </patternFill>
              </fill>
            </x14:dxf>
          </x14:cfRule>
          <x14:cfRule type="expression" priority="1423" id="{BFC08004-7CD3-41AA-A10C-F15B13A40EFE}">
            <xm:f>'SCIMP Plan'!$F$240=2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24" id="{9412F07B-A25C-4ACD-9F00-DAECDEEE8B4D}">
            <xm:f>'SCIMP Plan'!$F$240=1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AD20</xm:sqref>
        </x14:conditionalFormatting>
        <x14:conditionalFormatting xmlns:xm="http://schemas.microsoft.com/office/excel/2006/main">
          <x14:cfRule type="expression" priority="445" id="{13F18ECC-3F83-4D07-B6D7-37CBCD2AF039}">
            <xm:f>'SCIMP Plan'!$F$239="W"</xm:f>
            <x14:dxf>
              <fill>
                <patternFill>
                  <bgColor rgb="FF7030A0"/>
                </patternFill>
              </fill>
            </x14:dxf>
          </x14:cfRule>
          <x14:cfRule type="expression" priority="565" id="{F3C3DC49-BC0E-4678-9EA7-37D6E1766EB8}">
            <xm:f>'SCIMP Plan'!$F$239="D"</xm:f>
            <x14:dxf>
              <fill>
                <patternFill>
                  <bgColor theme="4"/>
                </patternFill>
              </fill>
            </x14:dxf>
          </x14:cfRule>
          <x14:cfRule type="expression" priority="566" id="{E75DFB3A-83EE-4120-B546-D09E46DBAF37}">
            <xm:f>'SCIMP Plan'!$F$239=4</xm:f>
            <x14:dxf>
              <fill>
                <patternFill>
                  <bgColor theme="1"/>
                </patternFill>
              </fill>
            </x14:dxf>
          </x14:cfRule>
          <x14:cfRule type="expression" priority="567" id="{4D896E82-2A27-4531-8430-0931CA292069}">
            <xm:f>'SCIMP Plan'!$F$239=3</xm:f>
            <x14:dxf>
              <fill>
                <patternFill>
                  <bgColor rgb="FFC00000"/>
                </patternFill>
              </fill>
            </x14:dxf>
          </x14:cfRule>
          <x14:cfRule type="expression" priority="568" id="{515E5A5B-4978-433D-AA22-218B5F62DEDF}">
            <xm:f>'SCIMP Plan'!$F$239=2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69" id="{0694E9BA-EE39-4BFD-A976-A0CE684D7890}">
            <xm:f>'SCIMP Plan'!$F$239=1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AD22</xm:sqref>
        </x14:conditionalFormatting>
        <x14:conditionalFormatting xmlns:xm="http://schemas.microsoft.com/office/excel/2006/main">
          <x14:cfRule type="expression" priority="443" id="{64E74E9B-F6D8-40BC-806E-AE5DC7A1F2B3}">
            <xm:f>'SCIMP Plan'!$F$217="W"</xm:f>
            <x14:dxf>
              <fill>
                <patternFill>
                  <bgColor rgb="FF7030A0"/>
                </patternFill>
              </fill>
            </x14:dxf>
          </x14:cfRule>
          <x14:cfRule type="expression" priority="1600" id="{9B252500-3766-4104-B93D-26FBB2883F8E}">
            <xm:f>'SCIMP Plan'!$F$217="D"</xm:f>
            <x14:dxf>
              <fill>
                <patternFill>
                  <bgColor theme="4"/>
                </patternFill>
              </fill>
            </x14:dxf>
          </x14:cfRule>
          <x14:cfRule type="expression" priority="1601" id="{E8A3CC85-E04C-4337-9CFE-407A09C98BB2}">
            <xm:f>'SCIMP Plan'!$F$217=4</xm:f>
            <x14:dxf>
              <fill>
                <patternFill>
                  <bgColor theme="1"/>
                </patternFill>
              </fill>
            </x14:dxf>
          </x14:cfRule>
          <x14:cfRule type="expression" priority="1602" id="{109A1B72-1226-4555-96F0-D2DEA93B5F23}">
            <xm:f>'SCIMP Plan'!$F$217=3</xm:f>
            <x14:dxf>
              <fill>
                <patternFill>
                  <bgColor rgb="FFC00000"/>
                </patternFill>
              </fill>
            </x14:dxf>
          </x14:cfRule>
          <x14:cfRule type="expression" priority="1603" id="{71D963CD-D339-4BBC-BEF5-315A28532012}">
            <xm:f>'SCIMP Plan'!$F$217=2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04" id="{F6E6DE4E-46AF-4125-A248-83D0A3C2FF08}">
            <xm:f>'SCIMP Plan'!$F$217=1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AD31</xm:sqref>
        </x14:conditionalFormatting>
        <x14:conditionalFormatting xmlns:xm="http://schemas.microsoft.com/office/excel/2006/main">
          <x14:cfRule type="expression" priority="1918" id="{A8C844C9-79EE-4062-922F-FC40CB369AD5}">
            <xm:f>'SCIMP Plan'!$F$192="W"</xm:f>
            <x14:dxf>
              <fill>
                <patternFill>
                  <bgColor rgb="FF7030A0"/>
                </patternFill>
              </fill>
            </x14:dxf>
          </x14:cfRule>
          <x14:cfRule type="expression" priority="1919" id="{18845F73-787E-4B3C-B3E7-27E0729715E7}">
            <xm:f>'SCIMP Plan'!$F$192="D"</xm:f>
            <x14:dxf>
              <fill>
                <patternFill>
                  <bgColor theme="4"/>
                </patternFill>
              </fill>
            </x14:dxf>
          </x14:cfRule>
          <x14:cfRule type="expression" priority="1920" id="{3A1E3EBD-9E63-443B-A70D-262E9060F454}">
            <xm:f>'SCIMP Plan'!$F$192=4</xm:f>
            <x14:dxf>
              <fill>
                <patternFill>
                  <bgColor theme="1"/>
                </patternFill>
              </fill>
            </x14:dxf>
          </x14:cfRule>
          <x14:cfRule type="expression" priority="1921" id="{A84B5E14-2B08-48C4-82D9-B866B8DD2A74}">
            <xm:f>'SCIMP Plan'!$F$192=3</xm:f>
            <x14:dxf>
              <fill>
                <patternFill>
                  <bgColor rgb="FFC00000"/>
                </patternFill>
              </fill>
            </x14:dxf>
          </x14:cfRule>
          <x14:cfRule type="expression" priority="1922" id="{2C6A0B74-9F11-4AFC-80EE-6C37EAFD0B15}">
            <xm:f>'SCIMP Plan'!$F$192=2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23" id="{83C81072-2D9D-4435-AAB9-11648E4A2116}">
            <xm:f>'SCIMP Plan'!$F$192=1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AD33</xm:sqref>
        </x14:conditionalFormatting>
        <x14:conditionalFormatting xmlns:xm="http://schemas.microsoft.com/office/excel/2006/main">
          <x14:cfRule type="expression" priority="439" id="{3FAACBF6-BDD6-47F3-B2D2-F5E0FA4D1049}">
            <xm:f>'SCIMP Plan'!$F$205="W"</xm:f>
            <x14:dxf>
              <fill>
                <patternFill>
                  <bgColor rgb="FF7030A0"/>
                </patternFill>
              </fill>
            </x14:dxf>
          </x14:cfRule>
          <x14:cfRule type="expression" priority="715" id="{777D976F-4273-46DA-9187-C9B195D13BE3}">
            <xm:f>'SCIMP Plan'!$F$205="D"</xm:f>
            <x14:dxf>
              <fill>
                <patternFill>
                  <bgColor theme="4"/>
                </patternFill>
              </fill>
            </x14:dxf>
          </x14:cfRule>
          <x14:cfRule type="expression" priority="716" id="{5029DA73-9D8E-4F36-8D63-9981C128CA19}">
            <xm:f>'SCIMP Plan'!$F$205=4</xm:f>
            <x14:dxf>
              <fill>
                <patternFill>
                  <bgColor theme="1"/>
                </patternFill>
              </fill>
            </x14:dxf>
          </x14:cfRule>
          <x14:cfRule type="expression" priority="717" id="{CFA87C97-1E33-485F-AD5D-455EF6651C33}">
            <xm:f>'SCIMP Plan'!$F$205=3</xm:f>
            <x14:dxf>
              <fill>
                <patternFill>
                  <bgColor rgb="FFC00000"/>
                </patternFill>
              </fill>
            </x14:dxf>
          </x14:cfRule>
          <x14:cfRule type="expression" priority="718" id="{607DFDE4-9399-41FE-BA4F-A34597662A6F}">
            <xm:f>'SCIMP Plan'!$F$205=2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19" id="{AA698D66-A76F-42ED-B1A3-F203DC7013F8}">
            <xm:f>'SCIMP Plan'!$F$205=1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AD35</xm:sqref>
        </x14:conditionalFormatting>
        <x14:conditionalFormatting xmlns:xm="http://schemas.microsoft.com/office/excel/2006/main">
          <x14:cfRule type="expression" priority="437" id="{8084589D-49A0-4EB5-B713-C0A30F597522}">
            <xm:f>'SCIMP Plan'!$F$203="W"</xm:f>
            <x14:dxf>
              <fill>
                <patternFill>
                  <bgColor rgb="FF7030A0"/>
                </patternFill>
              </fill>
            </x14:dxf>
          </x14:cfRule>
          <x14:cfRule type="expression" priority="705" id="{2B015451-85F3-4F9D-B7BD-7CD43B2CFD21}">
            <xm:f>'SCIMP Plan'!$F$203="D"</xm:f>
            <x14:dxf>
              <fill>
                <patternFill>
                  <bgColor theme="4"/>
                </patternFill>
              </fill>
            </x14:dxf>
          </x14:cfRule>
          <x14:cfRule type="expression" priority="706" id="{56FA09D4-A52A-4A4A-876E-CBF7CE3A7073}">
            <xm:f>'SCIMP Plan'!$F$203=4</xm:f>
            <x14:dxf>
              <fill>
                <patternFill>
                  <bgColor theme="1"/>
                </patternFill>
              </fill>
            </x14:dxf>
          </x14:cfRule>
          <x14:cfRule type="expression" priority="707" id="{209661EC-68C7-444F-978E-54F32E66A98E}">
            <xm:f>'SCIMP Plan'!$F$203=3</xm:f>
            <x14:dxf>
              <fill>
                <patternFill>
                  <bgColor rgb="FFC00000"/>
                </patternFill>
              </fill>
            </x14:dxf>
          </x14:cfRule>
          <x14:cfRule type="expression" priority="708" id="{1A36D272-6384-445E-AD9C-EBE06D30E14F}">
            <xm:f>'SCIMP Plan'!$F$203=2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09" id="{6A9D1D20-4539-4B24-B7DE-CB21532FD51F}">
            <xm:f>'SCIMP Plan'!$F$203=1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AD37</xm:sqref>
        </x14:conditionalFormatting>
        <x14:conditionalFormatting xmlns:xm="http://schemas.microsoft.com/office/excel/2006/main">
          <x14:cfRule type="expression" priority="1" id="{96358A6D-2546-4F44-B4A3-A7DC07F35313}">
            <xm:f>'SCIMP Plan'!$F$233="W"</xm:f>
            <x14:dxf>
              <fill>
                <patternFill>
                  <bgColor rgb="FF7030A0"/>
                </patternFill>
              </fill>
            </x14:dxf>
          </x14:cfRule>
          <x14:cfRule type="expression" priority="2" id="{CC72FA4D-992E-4741-BD48-C9C15FAEE37F}">
            <xm:f>'SCIMP Plan'!$F$233="D"</xm:f>
            <x14:dxf>
              <fill>
                <patternFill>
                  <bgColor theme="4"/>
                </patternFill>
              </fill>
            </x14:dxf>
          </x14:cfRule>
          <x14:cfRule type="expression" priority="3" id="{9E3ABFF2-4B2D-41F9-89ED-157C6C3625AE}">
            <xm:f>'SCIMP Plan'!$F$233=4</xm:f>
            <x14:dxf>
              <fill>
                <patternFill>
                  <bgColor theme="1"/>
                </patternFill>
              </fill>
            </x14:dxf>
          </x14:cfRule>
          <x14:cfRule type="expression" priority="4" id="{AA996097-8772-4491-A399-AA9D007992E8}">
            <xm:f>'SCIMP Plan'!$F$233=3</xm:f>
            <x14:dxf>
              <fill>
                <patternFill>
                  <bgColor rgb="FFC00000"/>
                </patternFill>
              </fill>
            </x14:dxf>
          </x14:cfRule>
          <x14:cfRule type="expression" priority="5" id="{88BEDEB0-8733-4CE0-9B73-8EA86736A55C}">
            <xm:f>'SCIMP Plan'!$F$233=2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 id="{A4B99EDC-3515-4128-BACD-708BDEF14E32}">
            <xm:f>'SCIMP Plan'!$F$233=1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AD39</xm:sqref>
        </x14:conditionalFormatting>
        <x14:conditionalFormatting xmlns:xm="http://schemas.microsoft.com/office/excel/2006/main">
          <x14:cfRule type="expression" priority="2192" id="{B683887B-5182-4CE1-AEB5-5C83A710199C}">
            <xm:f>'SCIMP Plan'!$F$201="W"</xm:f>
            <x14:dxf>
              <fill>
                <patternFill>
                  <bgColor rgb="FF7030A0"/>
                </patternFill>
              </fill>
            </x14:dxf>
          </x14:cfRule>
          <x14:cfRule type="expression" priority="2193" id="{A00797B9-2377-40E9-A224-D0F5B4F40F16}">
            <xm:f>'SCIMP Plan'!$F$201="D"</xm:f>
            <x14:dxf>
              <fill>
                <patternFill>
                  <bgColor theme="4"/>
                </patternFill>
              </fill>
            </x14:dxf>
          </x14:cfRule>
          <x14:cfRule type="expression" priority="2194" id="{8C75D781-1A5E-4498-9709-B2A00DD50563}">
            <xm:f>'SCIMP Plan'!$F$201=4</xm:f>
            <x14:dxf>
              <fill>
                <patternFill>
                  <bgColor theme="1"/>
                </patternFill>
              </fill>
            </x14:dxf>
          </x14:cfRule>
          <x14:cfRule type="expression" priority="2195" id="{C79AFD4B-0EDB-4480-9925-C49EFAD9D579}">
            <xm:f>'SCIMP Plan'!$F$201=3</xm:f>
            <x14:dxf>
              <fill>
                <patternFill>
                  <bgColor rgb="FFC00000"/>
                </patternFill>
              </fill>
            </x14:dxf>
          </x14:cfRule>
          <x14:cfRule type="expression" priority="2196" id="{E3C9A806-DB91-4DC4-ACD4-68FBD92EC1B4}">
            <xm:f>'SCIMP Plan'!$F$201=2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197" id="{4791B632-A36C-416D-BC79-EC6C4C8B8E46}">
            <xm:f>'SCIMP Plan'!$F$201=1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AD41</xm:sqref>
        </x14:conditionalFormatting>
        <x14:conditionalFormatting xmlns:xm="http://schemas.microsoft.com/office/excel/2006/main">
          <x14:cfRule type="expression" priority="431" id="{C82032AA-51F3-480D-A587-E2C89297BA4F}">
            <xm:f>'SCIMP Plan'!$F$193="W"</xm:f>
            <x14:dxf>
              <fill>
                <patternFill>
                  <bgColor rgb="FF7030A0"/>
                </patternFill>
              </fill>
            </x14:dxf>
          </x14:cfRule>
          <x14:cfRule type="expression" priority="675" id="{49242340-95FD-4AF5-BFC2-66DDA89E08C5}">
            <xm:f>'SCIMP Plan'!$F$193="D"</xm:f>
            <x14:dxf>
              <fill>
                <patternFill>
                  <bgColor theme="4"/>
                </patternFill>
              </fill>
            </x14:dxf>
          </x14:cfRule>
          <x14:cfRule type="expression" priority="676" id="{7C5980D9-E8AE-413A-B2E7-24E0F4826B06}">
            <xm:f>'SCIMP Plan'!$F$193=4</xm:f>
            <x14:dxf>
              <fill>
                <patternFill>
                  <bgColor theme="1"/>
                </patternFill>
              </fill>
            </x14:dxf>
          </x14:cfRule>
          <x14:cfRule type="expression" priority="677" id="{69BAEBA9-1E3B-44EA-A6DF-7CD63CEB88B3}">
            <xm:f>'SCIMP Plan'!$F$193=3</xm:f>
            <x14:dxf>
              <fill>
                <patternFill>
                  <bgColor rgb="FFC00000"/>
                </patternFill>
              </fill>
            </x14:dxf>
          </x14:cfRule>
          <x14:cfRule type="expression" priority="678" id="{50786D4A-5530-404F-A7A3-10C53898F7C6}">
            <xm:f>'SCIMP Plan'!$F$193=2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79" id="{0CEE7F4D-E5E9-4D97-BF1A-CF4DF6DEEC58}">
            <xm:f>'SCIMP Plan'!$F$193=1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AD48</xm:sqref>
        </x14:conditionalFormatting>
        <x14:conditionalFormatting xmlns:xm="http://schemas.microsoft.com/office/excel/2006/main">
          <x14:cfRule type="expression" priority="429" id="{7AABD897-F80B-4640-867F-4D397FDAD3F1}">
            <xm:f>'SCIMP Plan'!$F$216="W"</xm:f>
            <x14:dxf>
              <fill>
                <patternFill>
                  <bgColor rgb="FF7030A0"/>
                </patternFill>
              </fill>
            </x14:dxf>
          </x14:cfRule>
          <x14:cfRule type="expression" priority="1575" id="{C50146D9-BE46-488D-9FD2-A1DC1020F3AD}">
            <xm:f>'SCIMP Plan'!$F$216="D"</xm:f>
            <x14:dxf>
              <fill>
                <patternFill>
                  <bgColor theme="4"/>
                </patternFill>
              </fill>
            </x14:dxf>
          </x14:cfRule>
          <x14:cfRule type="expression" priority="1576" id="{263BBDED-2256-4BF7-955D-FC1636B19BCB}">
            <xm:f>'SCIMP Plan'!$F$216=4</xm:f>
            <x14:dxf>
              <fill>
                <patternFill>
                  <bgColor theme="1"/>
                </patternFill>
              </fill>
            </x14:dxf>
          </x14:cfRule>
          <x14:cfRule type="expression" priority="1577" id="{C353CC2F-9B55-4460-96ED-FD5D73D009CE}">
            <xm:f>'SCIMP Plan'!$F$216=3</xm:f>
            <x14:dxf>
              <fill>
                <patternFill>
                  <bgColor rgb="FFC00000"/>
                </patternFill>
              </fill>
            </x14:dxf>
          </x14:cfRule>
          <x14:cfRule type="expression" priority="1578" id="{72857D8B-5CB5-401A-A421-4F7E5A438668}">
            <xm:f>'SCIMP Plan'!$F$216=2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79" id="{70214DFD-81E7-4A9C-A812-5574DD15472B}">
            <xm:f>'SCIMP Plan'!$F$216=1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AD50</xm:sqref>
        </x14:conditionalFormatting>
        <x14:conditionalFormatting xmlns:xm="http://schemas.microsoft.com/office/excel/2006/main">
          <x14:cfRule type="expression" priority="427" id="{A1E61A92-BF0F-459B-B5BF-E3DE5604EEC0}">
            <xm:f>'SCIMP Plan'!$F$219="W"</xm:f>
            <x14:dxf>
              <fill>
                <patternFill>
                  <bgColor rgb="FF7030A0"/>
                </patternFill>
              </fill>
            </x14:dxf>
          </x14:cfRule>
          <x14:cfRule type="expression" priority="575" id="{5C50C245-2833-4472-83CB-8E88EC770AB8}">
            <xm:f>'SCIMP Plan'!$F$219="D"</xm:f>
            <x14:dxf>
              <fill>
                <patternFill>
                  <bgColor theme="4"/>
                </patternFill>
              </fill>
            </x14:dxf>
          </x14:cfRule>
          <x14:cfRule type="expression" priority="576" id="{B328D51A-B130-4B5E-9E27-7FC2C43260D6}">
            <xm:f>'SCIMP Plan'!$F$219=4</xm:f>
            <x14:dxf>
              <fill>
                <patternFill>
                  <bgColor theme="1"/>
                </patternFill>
              </fill>
            </x14:dxf>
          </x14:cfRule>
          <x14:cfRule type="expression" priority="577" id="{4507677A-384D-4BF4-8B65-8A49833308A4}">
            <xm:f>'SCIMP Plan'!$F$219=3</xm:f>
            <x14:dxf>
              <fill>
                <patternFill>
                  <bgColor rgb="FFC00000"/>
                </patternFill>
              </fill>
            </x14:dxf>
          </x14:cfRule>
          <x14:cfRule type="expression" priority="578" id="{06DE6D38-F2A3-44A4-99BB-38899C0259ED}">
            <xm:f>'SCIMP Plan'!$F$219=2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79" id="{9554C3CD-893F-44C8-BC87-286B5D2B453B}">
            <xm:f>'SCIMP Plan'!$F$219=1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AD52</xm:sqref>
        </x14:conditionalFormatting>
        <x14:conditionalFormatting xmlns:xm="http://schemas.microsoft.com/office/excel/2006/main">
          <x14:cfRule type="expression" priority="425" id="{161B70FB-7BD3-4ED2-8AC3-CFE4A246CB4D}">
            <xm:f>'SCIMP Plan'!$F$187="W"</xm:f>
            <x14:dxf>
              <fill>
                <patternFill>
                  <bgColor rgb="FF7030A0"/>
                </patternFill>
              </fill>
            </x14:dxf>
          </x14:cfRule>
          <x14:cfRule type="expression" priority="645" id="{FBB9B8A7-2D83-464A-BA89-6319CEE12911}">
            <xm:f>'SCIMP Plan'!$F$187="D"</xm:f>
            <x14:dxf>
              <fill>
                <patternFill>
                  <bgColor theme="4"/>
                </patternFill>
              </fill>
            </x14:dxf>
          </x14:cfRule>
          <x14:cfRule type="expression" priority="646" id="{C7A730B8-10C4-4834-8E79-10B035B6E076}">
            <xm:f>'SCIMP Plan'!$F$187=4</xm:f>
            <x14:dxf>
              <fill>
                <patternFill>
                  <bgColor theme="1"/>
                </patternFill>
              </fill>
            </x14:dxf>
          </x14:cfRule>
          <x14:cfRule type="expression" priority="647" id="{9006B64C-82D8-408D-84E9-5404C842E2CB}">
            <xm:f>'SCIMP Plan'!$F$187=3</xm:f>
            <x14:dxf>
              <fill>
                <patternFill>
                  <bgColor rgb="FFC00000"/>
                </patternFill>
              </fill>
            </x14:dxf>
          </x14:cfRule>
          <x14:cfRule type="expression" priority="648" id="{BA554BFC-21B6-4F02-8E7D-7A42D011BA9E}">
            <xm:f>'SCIMP Plan'!$F$187=2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49" id="{D5B2706B-07E7-4399-8ED5-E148DCE33439}">
            <xm:f>'SCIMP Plan'!$F$187=1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FB9D-BB2F-4E83-8220-B304A4EF0E04}">
  <sheetPr codeName="Sheet4"/>
  <dimension ref="A1:AG241"/>
  <sheetViews>
    <sheetView tabSelected="1" zoomScale="160" zoomScaleNormal="160" workbookViewId="0">
      <pane xSplit="1" topLeftCell="B1" activePane="topRight" state="frozen"/>
      <selection pane="topRight"/>
    </sheetView>
  </sheetViews>
  <sheetFormatPr defaultRowHeight="14.25" x14ac:dyDescent="0.45"/>
  <cols>
    <col min="1" max="1" width="73" style="4" customWidth="1"/>
    <col min="2" max="2" width="58" style="4" customWidth="1"/>
    <col min="3" max="3" width="51.33203125" style="4" customWidth="1"/>
    <col min="4" max="4" width="17.73046875" style="7" bestFit="1" customWidth="1"/>
    <col min="5" max="5" width="16.3984375" style="7" customWidth="1"/>
    <col min="6" max="6" width="12.86328125" style="4" customWidth="1"/>
    <col min="7" max="10" width="14.59765625" style="15" customWidth="1"/>
    <col min="11" max="11" width="24.86328125" style="16" customWidth="1"/>
    <col min="12" max="12" width="16.1328125" style="4" customWidth="1"/>
    <col min="13" max="13" width="19.265625" style="4" customWidth="1"/>
    <col min="14" max="15" width="16.1328125" style="4" customWidth="1"/>
    <col min="16" max="16" width="30.86328125" style="4" customWidth="1"/>
    <col min="17" max="17" width="14" style="4" customWidth="1"/>
    <col min="18" max="18" width="35.1328125" style="4" customWidth="1"/>
    <col min="19" max="19" width="34.86328125" style="4" customWidth="1"/>
    <col min="20" max="20" width="255.3984375" style="4" customWidth="1"/>
    <col min="21" max="21" width="52.1328125" style="4" bestFit="1" customWidth="1"/>
    <col min="22" max="22" width="52.1328125" style="4" customWidth="1"/>
    <col min="23" max="23" width="60.73046875" style="4" bestFit="1" customWidth="1"/>
    <col min="24" max="24" width="62.265625" style="29" bestFit="1" customWidth="1"/>
    <col min="25" max="25" width="30.265625" style="29" customWidth="1"/>
    <col min="26" max="26" width="63" style="29" customWidth="1"/>
    <col min="27" max="27" width="18.86328125" style="4" customWidth="1"/>
    <col min="28" max="28" width="72.265625" style="15" bestFit="1" customWidth="1"/>
    <col min="29" max="29" width="23.1328125" style="4" customWidth="1"/>
    <col min="30" max="30" width="70.73046875" style="4" bestFit="1" customWidth="1"/>
  </cols>
  <sheetData>
    <row r="1" spans="1:33" s="8" customFormat="1" ht="39.4" x14ac:dyDescent="0.45">
      <c r="A1" s="17" t="s">
        <v>196</v>
      </c>
      <c r="B1" s="17" t="s">
        <v>197</v>
      </c>
      <c r="C1" s="17" t="s">
        <v>198</v>
      </c>
      <c r="D1" s="17" t="s">
        <v>199</v>
      </c>
      <c r="E1" s="18" t="s">
        <v>200</v>
      </c>
      <c r="F1" s="19" t="s">
        <v>201</v>
      </c>
      <c r="G1" s="149" t="s">
        <v>202</v>
      </c>
      <c r="H1" s="150" t="s">
        <v>203</v>
      </c>
      <c r="I1" s="243" t="s">
        <v>204</v>
      </c>
      <c r="J1" s="174" t="s">
        <v>205</v>
      </c>
      <c r="K1" s="20" t="s">
        <v>206</v>
      </c>
      <c r="L1" s="20" t="s">
        <v>207</v>
      </c>
      <c r="M1" s="20" t="s">
        <v>208</v>
      </c>
      <c r="N1" s="20" t="s">
        <v>209</v>
      </c>
      <c r="O1" s="20" t="s">
        <v>210</v>
      </c>
      <c r="P1" s="20" t="s">
        <v>211</v>
      </c>
      <c r="Q1" s="17" t="s">
        <v>212</v>
      </c>
      <c r="R1" s="17" t="s">
        <v>213</v>
      </c>
      <c r="S1" s="17" t="s">
        <v>214</v>
      </c>
      <c r="T1" s="17" t="s">
        <v>215</v>
      </c>
      <c r="U1" s="17" t="s">
        <v>216</v>
      </c>
      <c r="V1" s="17" t="s">
        <v>217</v>
      </c>
      <c r="W1" s="17" t="s">
        <v>218</v>
      </c>
      <c r="X1" s="23" t="s">
        <v>1066</v>
      </c>
      <c r="Y1" s="23" t="s">
        <v>219</v>
      </c>
      <c r="Z1" s="23" t="s">
        <v>220</v>
      </c>
      <c r="AA1" s="17" t="s">
        <v>221</v>
      </c>
      <c r="AB1" s="17" t="s">
        <v>222</v>
      </c>
      <c r="AC1" s="17" t="s">
        <v>223</v>
      </c>
      <c r="AD1" s="17" t="s">
        <v>224</v>
      </c>
      <c r="AE1" s="8" t="s">
        <v>225</v>
      </c>
      <c r="AF1" s="8" t="s">
        <v>226</v>
      </c>
      <c r="AG1" s="8" t="s">
        <v>227</v>
      </c>
    </row>
    <row r="2" spans="1:33" ht="15" customHeight="1" x14ac:dyDescent="0.45">
      <c r="A2" s="3" t="s">
        <v>228</v>
      </c>
      <c r="B2" s="13" t="s">
        <v>229</v>
      </c>
      <c r="C2" s="13" t="s">
        <v>229</v>
      </c>
      <c r="D2" s="13" t="s">
        <v>229</v>
      </c>
      <c r="E2" s="13" t="s">
        <v>229</v>
      </c>
      <c r="F2" s="13" t="s">
        <v>229</v>
      </c>
      <c r="G2" s="151" t="s">
        <v>229</v>
      </c>
      <c r="H2" s="152" t="s">
        <v>229</v>
      </c>
      <c r="I2" s="244" t="s">
        <v>229</v>
      </c>
      <c r="J2" s="175" t="s">
        <v>229</v>
      </c>
      <c r="K2" s="259" t="s">
        <v>229</v>
      </c>
      <c r="L2" s="152" t="s">
        <v>229</v>
      </c>
      <c r="M2" s="152" t="s">
        <v>229</v>
      </c>
      <c r="N2" s="152" t="s">
        <v>229</v>
      </c>
      <c r="O2" s="13" t="s">
        <v>229</v>
      </c>
      <c r="P2" s="13" t="s">
        <v>229</v>
      </c>
      <c r="Q2" s="13" t="s">
        <v>229</v>
      </c>
      <c r="R2" s="13" t="s">
        <v>229</v>
      </c>
      <c r="S2" s="13" t="s">
        <v>229</v>
      </c>
      <c r="T2" s="2" t="str">
        <f>IF(Config!$B$2='Data Validations'!$E$2,Text!B2,IF(Config!$B$2='Data Validations'!$E$3,Text!C2,"Select a lanaguage in config"))</f>
        <v>__</v>
      </c>
      <c r="U2" s="13" t="s">
        <v>229</v>
      </c>
      <c r="V2" s="13" t="s">
        <v>229</v>
      </c>
      <c r="W2" s="13" t="s">
        <v>229</v>
      </c>
      <c r="X2" s="13" t="s">
        <v>229</v>
      </c>
      <c r="Y2" s="13" t="s">
        <v>229</v>
      </c>
      <c r="Z2" s="13" t="s">
        <v>229</v>
      </c>
      <c r="AA2" s="13" t="s">
        <v>229</v>
      </c>
      <c r="AB2" s="263"/>
      <c r="AC2" s="13"/>
      <c r="AD2" s="13"/>
      <c r="AG2" t="s">
        <v>109</v>
      </c>
    </row>
    <row r="3" spans="1:33" ht="15" customHeight="1" x14ac:dyDescent="0.45">
      <c r="A3" s="299" t="s">
        <v>230</v>
      </c>
      <c r="B3" s="1" t="s">
        <v>231</v>
      </c>
      <c r="C3" s="1" t="s">
        <v>232</v>
      </c>
      <c r="D3" s="5"/>
      <c r="E3" s="5"/>
      <c r="F3" s="13" t="s">
        <v>54</v>
      </c>
      <c r="G3" s="153"/>
      <c r="H3" s="154"/>
      <c r="I3" s="245"/>
      <c r="J3" s="176"/>
      <c r="K3" s="41"/>
      <c r="L3" s="14" t="s">
        <v>54</v>
      </c>
      <c r="M3" s="14" t="s">
        <v>54</v>
      </c>
      <c r="N3" s="14" t="s">
        <v>54</v>
      </c>
      <c r="O3" s="14"/>
      <c r="P3" s="14"/>
      <c r="Q3" s="2"/>
      <c r="R3" s="2"/>
      <c r="S3" s="2" t="s">
        <v>233</v>
      </c>
      <c r="T3" s="2" t="str">
        <f>IF(Config!$B$2='Data Validations'!$E$2,Text!B3,IF(Config!$B$2='Data Validations'!$E$3,Text!C3,"Select a lanaguage in config"))</f>
        <v>Allows for synchronisation of on-premises Active Directory accounts into Microsoft Entra ID</v>
      </c>
      <c r="U3" s="2" t="s">
        <v>42</v>
      </c>
      <c r="V3" s="2" t="s">
        <v>234</v>
      </c>
      <c r="W3" s="2" t="s">
        <v>235</v>
      </c>
      <c r="X3" s="26" t="s">
        <v>1097</v>
      </c>
      <c r="Y3" s="25" t="s">
        <v>237</v>
      </c>
      <c r="Z3" s="25" t="s">
        <v>42</v>
      </c>
      <c r="AA3" s="2" t="s">
        <v>238</v>
      </c>
      <c r="AB3" s="264"/>
      <c r="AC3" s="2"/>
      <c r="AD3" s="1" t="s">
        <v>1505</v>
      </c>
    </row>
    <row r="4" spans="1:33" ht="15" customHeight="1" x14ac:dyDescent="0.45">
      <c r="A4" s="299" t="s">
        <v>1280</v>
      </c>
      <c r="B4" s="1" t="s">
        <v>231</v>
      </c>
      <c r="C4" s="1" t="s">
        <v>239</v>
      </c>
      <c r="D4" s="6" t="str">
        <f>CONCATENATE(ROW(A3))</f>
        <v>3</v>
      </c>
      <c r="E4" s="6"/>
      <c r="F4" s="13" t="s">
        <v>54</v>
      </c>
      <c r="G4" s="153"/>
      <c r="H4" s="155"/>
      <c r="I4" s="245"/>
      <c r="J4" s="177"/>
      <c r="K4" s="41"/>
      <c r="L4" s="14" t="s">
        <v>54</v>
      </c>
      <c r="M4" s="14" t="s">
        <v>54</v>
      </c>
      <c r="N4" s="14" t="s">
        <v>54</v>
      </c>
      <c r="Q4" s="2"/>
      <c r="S4" s="4" t="s">
        <v>233</v>
      </c>
      <c r="T4" s="2" t="str">
        <f>IF(Config!$B$2='Data Validations'!$E$2,Text!B4,IF(Config!$B$2='Data Validations'!$E$3,Text!C4,"Select a lanaguage in config"))</f>
        <v>Creates a relationship between on-premises AD Accounts and AD accounts to make them appear as one account (single identity, effectively a hybrid identity)</v>
      </c>
      <c r="U4" s="2" t="s">
        <v>240</v>
      </c>
      <c r="V4" t="s">
        <v>241</v>
      </c>
      <c r="W4" s="10" t="s">
        <v>242</v>
      </c>
      <c r="X4" s="26" t="s">
        <v>1233</v>
      </c>
      <c r="Y4" s="26" t="s">
        <v>237</v>
      </c>
      <c r="Z4" s="26" t="s">
        <v>42</v>
      </c>
      <c r="AA4" s="2" t="s">
        <v>238</v>
      </c>
      <c r="AB4" s="264" t="s">
        <v>1501</v>
      </c>
      <c r="AC4" s="2" t="s">
        <v>244</v>
      </c>
      <c r="AD4" s="1" t="s">
        <v>1505</v>
      </c>
    </row>
    <row r="5" spans="1:33" ht="15" customHeight="1" x14ac:dyDescent="0.45">
      <c r="A5" s="299" t="s">
        <v>245</v>
      </c>
      <c r="B5" s="1" t="s">
        <v>231</v>
      </c>
      <c r="C5" s="1" t="s">
        <v>246</v>
      </c>
      <c r="D5" s="6" t="str">
        <f>CONCATENATE(ROW(A3))</f>
        <v>3</v>
      </c>
      <c r="E5" s="6" t="s">
        <v>247</v>
      </c>
      <c r="F5" s="13" t="s">
        <v>54</v>
      </c>
      <c r="G5" s="153"/>
      <c r="H5" s="155"/>
      <c r="I5" s="245"/>
      <c r="J5" s="177"/>
      <c r="K5" s="41"/>
      <c r="L5" s="14" t="s">
        <v>54</v>
      </c>
      <c r="M5" s="14" t="s">
        <v>54</v>
      </c>
      <c r="N5" s="14" t="s">
        <v>54</v>
      </c>
      <c r="Q5" s="2"/>
      <c r="R5" s="2"/>
      <c r="S5" s="2" t="s">
        <v>248</v>
      </c>
      <c r="T5" s="2" t="str">
        <f>IF(Config!$B$2='Data Validations'!$E$2,Text!B5,IF(Config!$B$2='Data Validations'!$E$3,Text!C5,"Select a lanaguage in config"))</f>
        <v>Allows for seamless single sign on whilst also removing the need for AD FS servers. This also means no reliance on any servers for authentication on-premises reducing surface area of attack</v>
      </c>
      <c r="U5" s="2" t="s">
        <v>240</v>
      </c>
      <c r="V5" s="2" t="s">
        <v>249</v>
      </c>
      <c r="W5" s="10" t="s">
        <v>242</v>
      </c>
      <c r="X5" s="25" t="s">
        <v>1124</v>
      </c>
      <c r="Y5" s="26" t="s">
        <v>237</v>
      </c>
      <c r="Z5" s="26" t="s">
        <v>42</v>
      </c>
      <c r="AA5" s="2" t="s">
        <v>238</v>
      </c>
      <c r="AB5" s="61" t="s">
        <v>250</v>
      </c>
      <c r="AC5" s="2" t="s">
        <v>244</v>
      </c>
      <c r="AD5" s="1"/>
    </row>
    <row r="6" spans="1:33" ht="15" customHeight="1" x14ac:dyDescent="0.45">
      <c r="A6" s="299" t="s">
        <v>251</v>
      </c>
      <c r="B6" s="1" t="s">
        <v>252</v>
      </c>
      <c r="C6" s="1" t="s">
        <v>239</v>
      </c>
      <c r="D6" s="6" t="str">
        <f>CONCATENATE(ROW(A4))</f>
        <v>4</v>
      </c>
      <c r="E6" s="6"/>
      <c r="F6" s="13" t="s">
        <v>54</v>
      </c>
      <c r="G6" s="156"/>
      <c r="H6" s="154"/>
      <c r="I6" s="246"/>
      <c r="J6" s="178"/>
      <c r="K6" s="41"/>
      <c r="L6" s="14" t="s">
        <v>54</v>
      </c>
      <c r="M6" s="14" t="s">
        <v>54</v>
      </c>
      <c r="N6" s="14" t="s">
        <v>54</v>
      </c>
      <c r="O6" s="14"/>
      <c r="P6" s="14"/>
      <c r="Q6" s="2"/>
      <c r="R6" s="2"/>
      <c r="S6" s="2" t="s">
        <v>248</v>
      </c>
      <c r="T6" s="2" t="str">
        <f>IF(Config!$B$2='Data Validations'!$E$2,Text!B6,IF(Config!$B$2='Data Validations'!$E$3,Text!C6,"Select a lanaguage in config"))</f>
        <v>Always latest and greatest version of Office deployed using the modern Click to Run method.</v>
      </c>
      <c r="U6" s="2" t="s">
        <v>406</v>
      </c>
      <c r="V6" s="298" t="s">
        <v>1220</v>
      </c>
      <c r="W6" s="2" t="s">
        <v>235</v>
      </c>
      <c r="X6" s="26" t="s">
        <v>1097</v>
      </c>
      <c r="Y6" s="26" t="s">
        <v>255</v>
      </c>
      <c r="Z6" s="26" t="s">
        <v>256</v>
      </c>
      <c r="AA6" s="2" t="s">
        <v>238</v>
      </c>
      <c r="AB6" s="264"/>
      <c r="AC6" s="2"/>
      <c r="AD6" s="1" t="s">
        <v>1506</v>
      </c>
    </row>
    <row r="7" spans="1:33" ht="15" customHeight="1" x14ac:dyDescent="0.45">
      <c r="A7" s="305" t="s">
        <v>258</v>
      </c>
      <c r="B7" s="13" t="s">
        <v>259</v>
      </c>
      <c r="C7" s="13" t="s">
        <v>259</v>
      </c>
      <c r="D7" s="13" t="s">
        <v>259</v>
      </c>
      <c r="E7" s="13" t="s">
        <v>259</v>
      </c>
      <c r="F7" s="13" t="s">
        <v>54</v>
      </c>
      <c r="G7" s="151" t="s">
        <v>259</v>
      </c>
      <c r="H7" s="152" t="s">
        <v>259</v>
      </c>
      <c r="I7" s="244" t="s">
        <v>259</v>
      </c>
      <c r="J7" s="175" t="s">
        <v>259</v>
      </c>
      <c r="K7" s="259" t="s">
        <v>259</v>
      </c>
      <c r="L7" s="152" t="s">
        <v>259</v>
      </c>
      <c r="M7" s="152" t="s">
        <v>259</v>
      </c>
      <c r="N7" s="152" t="s">
        <v>259</v>
      </c>
      <c r="O7" s="13" t="s">
        <v>259</v>
      </c>
      <c r="P7" s="13" t="s">
        <v>259</v>
      </c>
      <c r="Q7" s="13" t="s">
        <v>259</v>
      </c>
      <c r="R7" s="13" t="s">
        <v>259</v>
      </c>
      <c r="S7" s="13" t="s">
        <v>259</v>
      </c>
      <c r="T7" s="2" t="str">
        <f>IF(Config!$B$2='Data Validations'!$E$2,Text!B7,IF(Config!$B$2='Data Validations'!$E$3,Text!C7,"Select a lanaguage in config"))</f>
        <v>_</v>
      </c>
      <c r="U7" s="13" t="s">
        <v>259</v>
      </c>
      <c r="V7" s="13" t="s">
        <v>259</v>
      </c>
      <c r="W7" s="13" t="s">
        <v>259</v>
      </c>
      <c r="X7" s="13" t="s">
        <v>259</v>
      </c>
      <c r="Y7" s="13" t="s">
        <v>259</v>
      </c>
      <c r="Z7" s="13" t="s">
        <v>259</v>
      </c>
      <c r="AA7" s="13" t="s">
        <v>259</v>
      </c>
      <c r="AB7" s="263"/>
      <c r="AC7" s="13"/>
      <c r="AD7" s="13"/>
    </row>
    <row r="8" spans="1:33" ht="15" customHeight="1" x14ac:dyDescent="0.45">
      <c r="A8" s="289" t="s">
        <v>260</v>
      </c>
      <c r="B8" s="1" t="s">
        <v>231</v>
      </c>
      <c r="C8" s="1" t="s">
        <v>239</v>
      </c>
      <c r="D8" s="6" t="str">
        <f>CONCATENATE(ROW(A4))</f>
        <v>4</v>
      </c>
      <c r="E8" s="6"/>
      <c r="F8" s="13" t="s">
        <v>54</v>
      </c>
      <c r="G8" s="156"/>
      <c r="H8" s="154"/>
      <c r="I8" s="247"/>
      <c r="J8" s="176"/>
      <c r="K8" s="41"/>
      <c r="L8" s="14" t="s">
        <v>54</v>
      </c>
      <c r="M8" s="14" t="s">
        <v>54</v>
      </c>
      <c r="N8" s="14" t="s">
        <v>54</v>
      </c>
      <c r="O8" s="14"/>
      <c r="P8" s="14"/>
      <c r="Q8" s="2"/>
      <c r="R8" s="2"/>
      <c r="S8" s="2" t="s">
        <v>261</v>
      </c>
      <c r="T8" s="2" t="str">
        <f>IF(Config!$B$2='Data Validations'!$E$2,Text!B8,IF(Config!$B$2='Data Validations'!$E$3,Text!C8,"Select a lanaguage in config"))</f>
        <v>Significantly reduce or remove on-premises Exchange servers and all it's associated requirements leaving uses with an always up to date Exchange, access from anywhere, significantly larger mailboxes, transport rules and advanced compliance features on top of other benefits</v>
      </c>
      <c r="U8" s="2" t="s">
        <v>262</v>
      </c>
      <c r="V8" s="120" t="s">
        <v>263</v>
      </c>
      <c r="W8" s="10" t="s">
        <v>264</v>
      </c>
      <c r="X8" s="26" t="s">
        <v>1233</v>
      </c>
      <c r="Y8" s="26" t="s">
        <v>265</v>
      </c>
      <c r="Z8" s="26" t="s">
        <v>256</v>
      </c>
      <c r="AA8" s="2" t="s">
        <v>238</v>
      </c>
      <c r="AB8" s="264"/>
      <c r="AC8" s="2"/>
      <c r="AD8" s="1"/>
    </row>
    <row r="9" spans="1:33" ht="15" customHeight="1" x14ac:dyDescent="0.45">
      <c r="A9" s="289" t="s">
        <v>266</v>
      </c>
      <c r="B9" s="1" t="s">
        <v>231</v>
      </c>
      <c r="C9" s="1" t="s">
        <v>239</v>
      </c>
      <c r="D9" s="6" t="str">
        <f>CONCATENATE(ROW(A4))</f>
        <v>4</v>
      </c>
      <c r="E9" s="6"/>
      <c r="F9" s="13" t="s">
        <v>54</v>
      </c>
      <c r="G9" s="156"/>
      <c r="H9" s="157"/>
      <c r="I9" s="247"/>
      <c r="J9" s="178"/>
      <c r="K9" s="41"/>
      <c r="L9" s="14" t="s">
        <v>54</v>
      </c>
      <c r="M9" s="14" t="s">
        <v>54</v>
      </c>
      <c r="N9" s="14" t="s">
        <v>54</v>
      </c>
      <c r="O9" s="14"/>
      <c r="P9" s="14"/>
      <c r="Q9" s="2"/>
      <c r="R9" s="2"/>
      <c r="S9" s="2" t="s">
        <v>261</v>
      </c>
      <c r="T9" s="2" t="str">
        <f>IF(Config!$B$2='Data Validations'!$E$2,Text!B9,IF(Config!$B$2='Data Validations'!$E$3,Text!C9,"Select a lanaguage in config"))</f>
        <v>Migrate from legacy file shares to modern document management with SharePoint Online, providing an EDRM system, structured data, better searching, larger storage capacity, better insights, secure access from anywhere and access to advanced compliance features on top of other benefits</v>
      </c>
      <c r="U9" s="2" t="s">
        <v>267</v>
      </c>
      <c r="V9" s="120" t="s">
        <v>263</v>
      </c>
      <c r="W9" s="10" t="s">
        <v>570</v>
      </c>
      <c r="X9" s="26" t="s">
        <v>1233</v>
      </c>
      <c r="Y9" s="26" t="s">
        <v>269</v>
      </c>
      <c r="Z9" s="26" t="s">
        <v>270</v>
      </c>
      <c r="AA9" s="2" t="s">
        <v>238</v>
      </c>
      <c r="AB9" s="61" t="s">
        <v>271</v>
      </c>
      <c r="AC9" s="2"/>
      <c r="AD9" s="1" t="s">
        <v>1507</v>
      </c>
    </row>
    <row r="10" spans="1:33" ht="15" customHeight="1" x14ac:dyDescent="0.45">
      <c r="A10" s="289" t="s">
        <v>273</v>
      </c>
      <c r="B10" s="1" t="s">
        <v>231</v>
      </c>
      <c r="C10" s="1" t="s">
        <v>239</v>
      </c>
      <c r="D10" s="6" t="str">
        <f>CONCATENATE(ROW(A4))</f>
        <v>4</v>
      </c>
      <c r="E10" s="6"/>
      <c r="F10" s="13" t="s">
        <v>54</v>
      </c>
      <c r="G10" s="156"/>
      <c r="H10" s="157"/>
      <c r="I10" s="247"/>
      <c r="J10" s="178"/>
      <c r="K10" s="41"/>
      <c r="L10" s="14" t="s">
        <v>54</v>
      </c>
      <c r="M10" s="14" t="s">
        <v>54</v>
      </c>
      <c r="N10" s="14" t="s">
        <v>54</v>
      </c>
      <c r="Q10" s="2"/>
      <c r="R10" s="2"/>
      <c r="S10" s="2" t="s">
        <v>261</v>
      </c>
      <c r="T10" s="2" t="str">
        <f>IF(Config!$B$2='Data Validations'!$E$2,Text!B10,IF(Config!$B$2='Data Validations'!$E$3,Text!C10,"Select a lanaguage in config"))</f>
        <v>Migrate from legacy home drives to modern document management with OneDrive for Business, providing an EDRM system, structured data, better searching, unlimited storage capacity, secure access from anywhere and access to advanced compliance features on top of other benefits</v>
      </c>
      <c r="U10" s="2" t="s">
        <v>267</v>
      </c>
      <c r="V10" s="120" t="s">
        <v>263</v>
      </c>
      <c r="W10" s="10" t="s">
        <v>570</v>
      </c>
      <c r="X10" s="26" t="s">
        <v>1233</v>
      </c>
      <c r="Y10" s="26" t="s">
        <v>269</v>
      </c>
      <c r="Z10" s="26" t="s">
        <v>270</v>
      </c>
      <c r="AA10" s="2" t="s">
        <v>238</v>
      </c>
      <c r="AB10" s="264"/>
      <c r="AC10" s="2"/>
      <c r="AD10" s="1" t="s">
        <v>1507</v>
      </c>
    </row>
    <row r="11" spans="1:33" ht="15" customHeight="1" x14ac:dyDescent="0.45">
      <c r="A11" s="3" t="s">
        <v>274</v>
      </c>
      <c r="B11" s="13" t="s">
        <v>229</v>
      </c>
      <c r="C11" s="13" t="s">
        <v>229</v>
      </c>
      <c r="D11" s="13" t="s">
        <v>229</v>
      </c>
      <c r="E11" s="13" t="s">
        <v>229</v>
      </c>
      <c r="F11" s="13" t="s">
        <v>229</v>
      </c>
      <c r="G11" s="151" t="s">
        <v>229</v>
      </c>
      <c r="H11" s="152" t="s">
        <v>229</v>
      </c>
      <c r="I11" s="244" t="s">
        <v>229</v>
      </c>
      <c r="J11" s="175" t="s">
        <v>229</v>
      </c>
      <c r="K11" s="259" t="s">
        <v>229</v>
      </c>
      <c r="L11" s="152" t="s">
        <v>229</v>
      </c>
      <c r="M11" s="152" t="s">
        <v>229</v>
      </c>
      <c r="N11" s="152" t="s">
        <v>229</v>
      </c>
      <c r="O11" s="13" t="s">
        <v>229</v>
      </c>
      <c r="P11" s="13" t="s">
        <v>229</v>
      </c>
      <c r="Q11" s="13" t="s">
        <v>229</v>
      </c>
      <c r="R11" s="13" t="s">
        <v>229</v>
      </c>
      <c r="S11" s="13" t="s">
        <v>229</v>
      </c>
      <c r="T11" s="2" t="str">
        <f>IF(Config!$B$2='Data Validations'!$E$2,Text!B11,IF(Config!$B$2='Data Validations'!$E$3,Text!C11,"Select a lanaguage in config"))</f>
        <v>__</v>
      </c>
      <c r="U11" s="13" t="s">
        <v>229</v>
      </c>
      <c r="V11" s="13" t="s">
        <v>229</v>
      </c>
      <c r="W11" s="13" t="s">
        <v>229</v>
      </c>
      <c r="X11" s="13" t="s">
        <v>229</v>
      </c>
      <c r="Y11" s="13" t="s">
        <v>229</v>
      </c>
      <c r="Z11" s="13" t="s">
        <v>229</v>
      </c>
      <c r="AA11" s="13" t="s">
        <v>229</v>
      </c>
      <c r="AB11" s="264"/>
      <c r="AC11" s="2"/>
      <c r="AD11" s="2"/>
    </row>
    <row r="12" spans="1:33" ht="15" customHeight="1" x14ac:dyDescent="0.45">
      <c r="A12" s="305" t="s">
        <v>275</v>
      </c>
      <c r="B12" s="13" t="s">
        <v>259</v>
      </c>
      <c r="C12" s="13" t="s">
        <v>259</v>
      </c>
      <c r="D12" s="13" t="s">
        <v>259</v>
      </c>
      <c r="E12" s="13" t="s">
        <v>259</v>
      </c>
      <c r="F12" s="13" t="s">
        <v>259</v>
      </c>
      <c r="G12" s="151" t="s">
        <v>259</v>
      </c>
      <c r="H12" s="152" t="s">
        <v>259</v>
      </c>
      <c r="I12" s="244" t="s">
        <v>259</v>
      </c>
      <c r="J12" s="175" t="s">
        <v>259</v>
      </c>
      <c r="K12" s="259" t="s">
        <v>259</v>
      </c>
      <c r="L12" s="152" t="s">
        <v>259</v>
      </c>
      <c r="M12" s="152" t="s">
        <v>259</v>
      </c>
      <c r="N12" s="152" t="s">
        <v>259</v>
      </c>
      <c r="O12" s="13" t="s">
        <v>259</v>
      </c>
      <c r="P12" s="13" t="s">
        <v>259</v>
      </c>
      <c r="Q12" s="13" t="s">
        <v>259</v>
      </c>
      <c r="R12" s="13" t="s">
        <v>259</v>
      </c>
      <c r="S12" s="13" t="s">
        <v>259</v>
      </c>
      <c r="T12" s="2" t="str">
        <f>IF(Config!$B$2='Data Validations'!$E$2,Text!B12,IF(Config!$B$2='Data Validations'!$E$3,Text!C12,"Select a lanaguage in config"))</f>
        <v>_</v>
      </c>
      <c r="U12" s="13" t="s">
        <v>259</v>
      </c>
      <c r="V12" s="13" t="s">
        <v>259</v>
      </c>
      <c r="W12" s="13" t="s">
        <v>259</v>
      </c>
      <c r="X12" s="13" t="s">
        <v>259</v>
      </c>
      <c r="Y12" s="13" t="s">
        <v>259</v>
      </c>
      <c r="Z12" s="13" t="s">
        <v>259</v>
      </c>
      <c r="AA12" s="13" t="s">
        <v>259</v>
      </c>
      <c r="AB12" s="61" t="s">
        <v>276</v>
      </c>
      <c r="AC12" s="2" t="s">
        <v>244</v>
      </c>
      <c r="AD12" s="2"/>
    </row>
    <row r="13" spans="1:33" ht="15" customHeight="1" x14ac:dyDescent="0.45">
      <c r="A13" s="289" t="s">
        <v>277</v>
      </c>
      <c r="B13" s="1" t="s">
        <v>231</v>
      </c>
      <c r="C13" s="1" t="s">
        <v>246</v>
      </c>
      <c r="D13" s="6" t="str">
        <f>CONCATENATE(ROW(A4))</f>
        <v>4</v>
      </c>
      <c r="E13" s="6" t="s">
        <v>247</v>
      </c>
      <c r="F13" s="13" t="s">
        <v>54</v>
      </c>
      <c r="G13" s="158"/>
      <c r="H13" s="154"/>
      <c r="I13" s="245"/>
      <c r="J13" s="177"/>
      <c r="K13" s="41"/>
      <c r="L13" s="14" t="s">
        <v>54</v>
      </c>
      <c r="M13" s="14" t="s">
        <v>54</v>
      </c>
      <c r="N13" s="14" t="s">
        <v>54</v>
      </c>
      <c r="O13" s="14"/>
      <c r="P13" s="14"/>
      <c r="Q13" s="2"/>
      <c r="R13" s="2"/>
      <c r="S13" s="2" t="s">
        <v>278</v>
      </c>
      <c r="T13" s="2" t="str">
        <f>IF(Config!$B$2='Data Validations'!$E$2,Text!B13,IF(Config!$B$2='Data Validations'!$E$3,Text!C13,"Select a lanaguage in config"))</f>
        <v>Stops users from using common passwords and forces them (politely) to set not a only a complex password but one that is more unique and less guessable. In turn this, coupled with MFA, removes the need for users to changes their passwords on a regular basis. This can help reduce load on the helpdesk for forgotten passwords or users physically writing down passwords and taping to desks</v>
      </c>
      <c r="U13" s="2" t="s">
        <v>240</v>
      </c>
      <c r="V13" s="120" t="s">
        <v>279</v>
      </c>
      <c r="W13" s="10" t="s">
        <v>280</v>
      </c>
      <c r="X13" s="26" t="s">
        <v>281</v>
      </c>
      <c r="Y13" s="26" t="s">
        <v>237</v>
      </c>
      <c r="Z13" s="26" t="s">
        <v>42</v>
      </c>
      <c r="AA13" s="2" t="s">
        <v>238</v>
      </c>
      <c r="AB13" s="264"/>
      <c r="AC13" s="2" t="s">
        <v>244</v>
      </c>
      <c r="AD13" s="1" t="s">
        <v>308</v>
      </c>
    </row>
    <row r="14" spans="1:33" ht="15" customHeight="1" x14ac:dyDescent="0.45">
      <c r="A14" s="289" t="s">
        <v>1179</v>
      </c>
      <c r="B14" s="1" t="s">
        <v>231</v>
      </c>
      <c r="C14" s="1" t="s">
        <v>232</v>
      </c>
      <c r="D14" s="6" t="str">
        <f>CONCATENATE(ROW(A4))</f>
        <v>4</v>
      </c>
      <c r="E14" s="6" t="s">
        <v>247</v>
      </c>
      <c r="F14" s="13" t="s">
        <v>54</v>
      </c>
      <c r="G14" s="153"/>
      <c r="H14" s="155"/>
      <c r="I14" s="245"/>
      <c r="J14" s="177"/>
      <c r="K14" s="41"/>
      <c r="L14" s="14" t="s">
        <v>54</v>
      </c>
      <c r="M14" s="14" t="s">
        <v>54</v>
      </c>
      <c r="N14" s="14" t="s">
        <v>54</v>
      </c>
      <c r="O14" s="14"/>
      <c r="P14" s="14"/>
      <c r="Q14" s="2"/>
      <c r="R14" s="2"/>
      <c r="S14" s="2" t="s">
        <v>278</v>
      </c>
      <c r="T14" s="2" t="str">
        <f>IF(Config!$B$2='Data Validations'!$E$2,Text!B14,IF(Config!$B$2='Data Validations'!$E$3,Text!C14,"Select a lanaguage in config"))</f>
        <v>This has less of a use case in Zero Trust, but can still be used to help validate users when setting up MFA or enrolling devices. I.e., they must pass through physical security before setting up digital security</v>
      </c>
      <c r="U14" s="2" t="s">
        <v>282</v>
      </c>
      <c r="V14" s="120" t="s">
        <v>279</v>
      </c>
      <c r="W14" s="10" t="s">
        <v>283</v>
      </c>
      <c r="X14" s="26" t="s">
        <v>284</v>
      </c>
      <c r="Y14" s="26" t="s">
        <v>237</v>
      </c>
      <c r="Z14" s="26" t="s">
        <v>42</v>
      </c>
      <c r="AA14" s="2" t="s">
        <v>238</v>
      </c>
      <c r="AB14" s="264"/>
      <c r="AC14" s="2" t="s">
        <v>244</v>
      </c>
      <c r="AD14" s="1" t="s">
        <v>308</v>
      </c>
    </row>
    <row r="15" spans="1:33" ht="15" customHeight="1" x14ac:dyDescent="0.45">
      <c r="A15" s="289" t="s">
        <v>1180</v>
      </c>
      <c r="B15" s="1" t="s">
        <v>231</v>
      </c>
      <c r="C15" s="1" t="s">
        <v>232</v>
      </c>
      <c r="D15" s="6" t="str">
        <f>CONCATENATE(ROW(A4))</f>
        <v>4</v>
      </c>
      <c r="E15" s="6" t="s">
        <v>247</v>
      </c>
      <c r="F15" s="13" t="s">
        <v>54</v>
      </c>
      <c r="G15" s="158"/>
      <c r="H15" s="154"/>
      <c r="I15" s="245"/>
      <c r="J15" s="177"/>
      <c r="K15" s="41"/>
      <c r="L15" s="14" t="s">
        <v>54</v>
      </c>
      <c r="M15" s="14" t="s">
        <v>54</v>
      </c>
      <c r="N15" s="14" t="s">
        <v>54</v>
      </c>
      <c r="O15" s="14"/>
      <c r="P15" s="14"/>
      <c r="Q15" s="2"/>
      <c r="R15" s="2"/>
      <c r="S15" s="2" t="s">
        <v>278</v>
      </c>
      <c r="T15" s="2" t="str">
        <f>IF(Config!$B$2='Data Validations'!$E$2,Text!B15,IF(Config!$B$2='Data Validations'!$E$3,Text!C15,"Select a lanaguage in config"))</f>
        <v>Allows organizations to define the conditional access conditions a user must go through to enrol into MFA or Self Service Password Reset (SSPR). This helps validate the user is a member of the organization and not an attacker with phished credentials creating trust through MFA</v>
      </c>
      <c r="U15" s="2" t="s">
        <v>42</v>
      </c>
      <c r="V15" s="120" t="s">
        <v>279</v>
      </c>
      <c r="W15" s="10" t="s">
        <v>283</v>
      </c>
      <c r="X15" s="26" t="s">
        <v>285</v>
      </c>
      <c r="Y15" s="26" t="s">
        <v>237</v>
      </c>
      <c r="Z15" s="26" t="s">
        <v>42</v>
      </c>
      <c r="AA15" s="2" t="s">
        <v>238</v>
      </c>
      <c r="AB15" s="264"/>
      <c r="AC15" s="2" t="s">
        <v>244</v>
      </c>
      <c r="AD15" s="1" t="s">
        <v>308</v>
      </c>
    </row>
    <row r="16" spans="1:33" ht="15" customHeight="1" x14ac:dyDescent="0.45">
      <c r="A16" s="289" t="s">
        <v>286</v>
      </c>
      <c r="B16" s="1" t="s">
        <v>231</v>
      </c>
      <c r="C16" s="1" t="s">
        <v>246</v>
      </c>
      <c r="D16" s="6" t="str">
        <f>CONCATENATE(ROW(A4))</f>
        <v>4</v>
      </c>
      <c r="E16" s="6" t="s">
        <v>247</v>
      </c>
      <c r="F16" s="13" t="s">
        <v>54</v>
      </c>
      <c r="G16" s="156"/>
      <c r="H16" s="155"/>
      <c r="I16" s="247"/>
      <c r="J16" s="176"/>
      <c r="K16" s="41"/>
      <c r="L16" s="14" t="s">
        <v>54</v>
      </c>
      <c r="M16" s="14" t="s">
        <v>54</v>
      </c>
      <c r="N16" s="14" t="s">
        <v>54</v>
      </c>
      <c r="O16" s="14"/>
      <c r="P16" s="14"/>
      <c r="Q16" s="2"/>
      <c r="R16" s="2"/>
      <c r="S16" s="2" t="s">
        <v>278</v>
      </c>
      <c r="T16" s="2" t="str">
        <f>IF(Config!$B$2='Data Validations'!$E$2,Text!B16,IF(Config!$B$2='Data Validations'!$E$3,Text!C16,"Select a lanaguage in config"))</f>
        <v>Stops 99.9% of Identity based attacks. As identity is the control plane, MFA is essential protection. Factors of authentication are broken down into something you know (password/PIN), something you have (i.e. phone or token) and something you are (biometrics). The latter two typically can only exist in one place at a time giving trust that the user who provides these is who they claim to be.</v>
      </c>
      <c r="U16" s="2" t="s">
        <v>287</v>
      </c>
      <c r="V16" s="120" t="s">
        <v>279</v>
      </c>
      <c r="W16" s="10" t="s">
        <v>288</v>
      </c>
      <c r="X16" s="26" t="s">
        <v>1074</v>
      </c>
      <c r="Y16" s="26" t="s">
        <v>237</v>
      </c>
      <c r="Z16" s="26" t="s">
        <v>42</v>
      </c>
      <c r="AA16" s="2" t="s">
        <v>238</v>
      </c>
      <c r="AB16" s="264"/>
      <c r="AC16" s="2" t="s">
        <v>244</v>
      </c>
      <c r="AD16" s="1" t="s">
        <v>308</v>
      </c>
    </row>
    <row r="17" spans="1:30" ht="15" customHeight="1" x14ac:dyDescent="0.45">
      <c r="A17" s="289" t="s">
        <v>1444</v>
      </c>
      <c r="B17" s="1" t="s">
        <v>231</v>
      </c>
      <c r="C17" s="1" t="s">
        <v>246</v>
      </c>
      <c r="D17" s="6" t="str">
        <f>CONCATENATE(ROW(A16))</f>
        <v>16</v>
      </c>
      <c r="E17" s="6"/>
      <c r="F17" s="13" t="s">
        <v>54</v>
      </c>
      <c r="G17" s="156"/>
      <c r="H17" s="155"/>
      <c r="I17" s="247"/>
      <c r="J17" s="176"/>
      <c r="K17" s="41"/>
      <c r="L17" s="14" t="s">
        <v>54</v>
      </c>
      <c r="M17" s="14" t="s">
        <v>54</v>
      </c>
      <c r="N17" s="14" t="s">
        <v>54</v>
      </c>
      <c r="O17" s="14"/>
      <c r="P17" s="14"/>
      <c r="Q17" s="2"/>
      <c r="R17" s="2"/>
      <c r="S17" s="2" t="s">
        <v>289</v>
      </c>
      <c r="T17" s="2" t="str">
        <f>IF(Config!$B$2='Data Validations'!$E$2,Text!B17,IF(Config!$B$2='Data Validations'!$E$3,Text!C17,"Select a lanaguage in config"))</f>
        <v>Can significantly reduce load on the help desk by allowing users to reset their own passwords. Provides greater levels of validation that the user is who they claim to be through MFA when resetting passwords. Also allows a user to reset their password anytime, even outside of helpdesk operating hours. Can also be used as a response action, in line with Azure Identity Protection, to help remediate compromised accounts</v>
      </c>
      <c r="U17" s="2" t="s">
        <v>287</v>
      </c>
      <c r="V17" s="120" t="s">
        <v>279</v>
      </c>
      <c r="W17" s="10" t="s">
        <v>290</v>
      </c>
      <c r="X17" s="26" t="s">
        <v>291</v>
      </c>
      <c r="Y17" s="26" t="s">
        <v>237</v>
      </c>
      <c r="Z17" s="26" t="s">
        <v>42</v>
      </c>
      <c r="AA17" s="2" t="s">
        <v>238</v>
      </c>
      <c r="AB17" s="264"/>
      <c r="AC17" s="2" t="s">
        <v>244</v>
      </c>
      <c r="AD17" s="1" t="s">
        <v>1508</v>
      </c>
    </row>
    <row r="18" spans="1:30" ht="15" customHeight="1" x14ac:dyDescent="0.45">
      <c r="A18" s="289" t="s">
        <v>292</v>
      </c>
      <c r="B18" s="1" t="s">
        <v>231</v>
      </c>
      <c r="C18" s="1" t="s">
        <v>246</v>
      </c>
      <c r="D18" s="6" t="str">
        <f>CONCATENATE(ROW(A4))</f>
        <v>4</v>
      </c>
      <c r="E18" s="6" t="s">
        <v>247</v>
      </c>
      <c r="F18" s="13" t="s">
        <v>54</v>
      </c>
      <c r="G18" s="153"/>
      <c r="H18" s="155"/>
      <c r="I18" s="245"/>
      <c r="J18" s="176"/>
      <c r="K18" s="41"/>
      <c r="L18" s="14" t="s">
        <v>54</v>
      </c>
      <c r="M18" s="14" t="s">
        <v>54</v>
      </c>
      <c r="N18" s="14" t="s">
        <v>54</v>
      </c>
      <c r="O18" s="14"/>
      <c r="P18" s="14"/>
      <c r="Q18" s="2"/>
      <c r="R18" s="2"/>
      <c r="S18" s="2" t="s">
        <v>233</v>
      </c>
      <c r="T18" s="2" t="str">
        <f>IF(Config!$B$2='Data Validations'!$E$2,Text!B18,IF(Config!$B$2='Data Validations'!$E$3,Text!C18,"Select a lanaguage in config"))</f>
        <v>Primarily used by users go passwordless by validating them as a member of your organization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v>
      </c>
      <c r="U18" s="2" t="s">
        <v>42</v>
      </c>
      <c r="V18" s="120" t="s">
        <v>279</v>
      </c>
      <c r="W18" s="10" t="s">
        <v>288</v>
      </c>
      <c r="X18" s="26" t="s">
        <v>1074</v>
      </c>
      <c r="Y18" s="26" t="s">
        <v>237</v>
      </c>
      <c r="Z18" s="26" t="s">
        <v>42</v>
      </c>
      <c r="AA18" s="2" t="s">
        <v>238</v>
      </c>
      <c r="AB18" s="264"/>
      <c r="AC18" s="2" t="s">
        <v>244</v>
      </c>
      <c r="AD18" s="2"/>
    </row>
    <row r="19" spans="1:30" ht="15" customHeight="1" x14ac:dyDescent="0.45">
      <c r="A19" s="289" t="s">
        <v>293</v>
      </c>
      <c r="B19" s="1" t="s">
        <v>231</v>
      </c>
      <c r="C19" s="1" t="s">
        <v>246</v>
      </c>
      <c r="D19" s="6" t="str">
        <f>CONCATENATE(ROW(A4))</f>
        <v>4</v>
      </c>
      <c r="E19" s="6" t="s">
        <v>247</v>
      </c>
      <c r="F19" s="13" t="s">
        <v>54</v>
      </c>
      <c r="G19" s="156"/>
      <c r="H19" s="155"/>
      <c r="I19" s="247"/>
      <c r="J19" s="176"/>
      <c r="K19" s="41"/>
      <c r="L19" s="14" t="s">
        <v>54</v>
      </c>
      <c r="M19" s="14" t="s">
        <v>54</v>
      </c>
      <c r="N19" s="14" t="s">
        <v>54</v>
      </c>
      <c r="O19" s="14"/>
      <c r="P19" s="14"/>
      <c r="Q19" s="2"/>
      <c r="R19" s="2"/>
      <c r="S19" s="2" t="s">
        <v>513</v>
      </c>
      <c r="T19" s="2" t="str">
        <f>IF(Config!$B$2='Data Validations'!$E$2,Text!B19,IF(Config!$B$2='Data Validations'!$E$3,Text!C19,"Select a lanaguage in config"))</f>
        <v>Removes legacy passwords and provides strong, user friendly, non-phishable credentials. The future of authentication</v>
      </c>
      <c r="U19" s="2" t="s">
        <v>287</v>
      </c>
      <c r="V19" s="120" t="s">
        <v>279</v>
      </c>
      <c r="W19" s="10" t="s">
        <v>294</v>
      </c>
      <c r="X19" s="26" t="s">
        <v>291</v>
      </c>
      <c r="Y19" s="26" t="s">
        <v>237</v>
      </c>
      <c r="Z19" s="26" t="s">
        <v>42</v>
      </c>
      <c r="AA19" s="2" t="s">
        <v>238</v>
      </c>
      <c r="AB19" s="264"/>
      <c r="AC19" s="2" t="s">
        <v>244</v>
      </c>
      <c r="AD19" s="2"/>
    </row>
    <row r="20" spans="1:30" ht="15" customHeight="1" x14ac:dyDescent="0.45">
      <c r="A20" s="289" t="s">
        <v>1490</v>
      </c>
      <c r="B20" s="1" t="s">
        <v>231</v>
      </c>
      <c r="C20" s="1" t="s">
        <v>246</v>
      </c>
      <c r="D20" s="6" t="str">
        <f>CONCATENATE(ROW(A4))</f>
        <v>4</v>
      </c>
      <c r="E20" s="6"/>
      <c r="F20" s="13" t="s">
        <v>54</v>
      </c>
      <c r="G20" s="156"/>
      <c r="H20" s="154"/>
      <c r="I20" s="245"/>
      <c r="J20" s="176"/>
      <c r="K20" s="41"/>
      <c r="L20" s="14" t="s">
        <v>54</v>
      </c>
      <c r="M20" s="14" t="s">
        <v>54</v>
      </c>
      <c r="N20" s="14" t="s">
        <v>54</v>
      </c>
      <c r="O20" s="14"/>
      <c r="P20" s="14"/>
      <c r="Q20" s="2"/>
      <c r="R20" s="2"/>
      <c r="S20" s="2" t="s">
        <v>289</v>
      </c>
      <c r="T20" s="2" t="str">
        <f>IF(Config!$B$2='Data Validations'!$E$2,Text!B20,IF(Config!$B$2='Data Validations'!$E$3,Text!C20,"Select a lanaguage in config"))</f>
        <v>Microsoft Entra certificate-based authentication (CBA) enables organizations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v>
      </c>
      <c r="U20" s="2"/>
      <c r="V20" s="120"/>
      <c r="W20" s="10" t="s">
        <v>242</v>
      </c>
      <c r="X20" s="26"/>
      <c r="Y20" s="26" t="s">
        <v>237</v>
      </c>
      <c r="Z20" s="26" t="s">
        <v>42</v>
      </c>
      <c r="AA20" s="2"/>
      <c r="AB20" s="264"/>
      <c r="AC20" s="2"/>
      <c r="AD20" s="1"/>
    </row>
    <row r="21" spans="1:30" ht="15" customHeight="1" x14ac:dyDescent="0.45">
      <c r="A21" s="289" t="s">
        <v>1431</v>
      </c>
      <c r="B21" s="1" t="s">
        <v>231</v>
      </c>
      <c r="C21" s="1" t="s">
        <v>246</v>
      </c>
      <c r="D21" s="6" t="str">
        <f>CONCATENATE(ROW(A5))</f>
        <v>5</v>
      </c>
      <c r="E21" s="6"/>
      <c r="F21" s="13" t="s">
        <v>54</v>
      </c>
      <c r="G21" s="153"/>
      <c r="H21" s="154"/>
      <c r="I21" s="245"/>
      <c r="J21" s="176"/>
      <c r="K21" s="41"/>
      <c r="L21" s="14" t="s">
        <v>54</v>
      </c>
      <c r="M21" s="14" t="s">
        <v>54</v>
      </c>
      <c r="N21" s="14" t="s">
        <v>54</v>
      </c>
      <c r="O21" s="14"/>
      <c r="P21" s="14"/>
      <c r="Q21" s="2"/>
      <c r="R21" s="2"/>
      <c r="S21" s="2" t="s">
        <v>289</v>
      </c>
      <c r="T21" s="2" t="str">
        <f>IF(Config!$B$2='Data Validations'!$E$2,Text!B21,IF(Config!$B$2='Data Validations'!$E$3,Text!C21,"Select a lanaguage in config"))</f>
        <v>This hardware OATH token preview improves flexibility and security for organizations by removing Global Administrator requirements. Organizations can delegate token creation, assignment, and activation to Privileged Authentication Administrators or Authentication Policy Administrators.</v>
      </c>
      <c r="U21" s="2"/>
      <c r="V21" s="120" t="s">
        <v>279</v>
      </c>
      <c r="W21" s="10" t="s">
        <v>288</v>
      </c>
      <c r="X21" s="26"/>
      <c r="Y21" s="26" t="s">
        <v>237</v>
      </c>
      <c r="Z21" s="26" t="s">
        <v>42</v>
      </c>
      <c r="AA21" s="2"/>
      <c r="AB21" s="264"/>
      <c r="AC21" s="2"/>
      <c r="AD21" s="1"/>
    </row>
    <row r="22" spans="1:30" ht="15" customHeight="1" x14ac:dyDescent="0.45">
      <c r="A22" s="289" t="s">
        <v>1193</v>
      </c>
      <c r="B22" s="1" t="s">
        <v>1194</v>
      </c>
      <c r="C22" s="1" t="s">
        <v>239</v>
      </c>
      <c r="D22" s="6"/>
      <c r="E22" s="6"/>
      <c r="F22" s="13" t="s">
        <v>54</v>
      </c>
      <c r="G22" s="156"/>
      <c r="H22" s="154"/>
      <c r="I22" s="245"/>
      <c r="J22" s="176"/>
      <c r="K22" s="41"/>
      <c r="L22" s="14" t="s">
        <v>54</v>
      </c>
      <c r="M22" s="14" t="s">
        <v>54</v>
      </c>
      <c r="N22" s="14" t="s">
        <v>54</v>
      </c>
      <c r="O22" s="14"/>
      <c r="P22" s="14"/>
      <c r="Q22" s="2"/>
      <c r="R22" s="2"/>
      <c r="S22" s="2" t="s">
        <v>513</v>
      </c>
      <c r="T22" s="2" t="str">
        <f>IF(Config!$B$2='Data Validations'!$E$2,Text!B22,IF(Config!$B$2='Data Validations'!$E$3,Text!C22,"Select a lanaguage in config"))</f>
        <v>We believe a standards-based Decentralized Identity system can unlock a new set of experiences that give users and organizations greater control over their data—and deliver a higher degree of trust and security for apps, devices, and service providers.</v>
      </c>
      <c r="U22" s="2"/>
      <c r="V22" s="120" t="s">
        <v>279</v>
      </c>
      <c r="W22" s="10" t="s">
        <v>288</v>
      </c>
      <c r="X22" s="26"/>
      <c r="Y22" s="26" t="s">
        <v>237</v>
      </c>
      <c r="Z22" s="26" t="s">
        <v>42</v>
      </c>
      <c r="AA22" s="2"/>
      <c r="AB22" s="264"/>
      <c r="AC22" s="2"/>
      <c r="AD22" s="1"/>
    </row>
    <row r="23" spans="1:30" ht="15" customHeight="1" x14ac:dyDescent="0.45">
      <c r="A23" s="289" t="s">
        <v>295</v>
      </c>
      <c r="B23" s="1" t="s">
        <v>231</v>
      </c>
      <c r="C23" s="1" t="s">
        <v>296</v>
      </c>
      <c r="D23" s="6" t="str">
        <f>CONCATENATE(ROW(A16))</f>
        <v>16</v>
      </c>
      <c r="E23" s="6"/>
      <c r="F23" s="13" t="s">
        <v>54</v>
      </c>
      <c r="G23" s="153"/>
      <c r="H23" s="154"/>
      <c r="I23" s="245"/>
      <c r="J23" s="176"/>
      <c r="K23" s="41"/>
      <c r="L23" s="14" t="s">
        <v>54</v>
      </c>
      <c r="M23" s="14" t="s">
        <v>54</v>
      </c>
      <c r="N23" s="14" t="s">
        <v>54</v>
      </c>
      <c r="O23" s="14"/>
      <c r="P23" s="14"/>
      <c r="Q23" s="2"/>
      <c r="R23" s="2"/>
      <c r="S23" s="2" t="s">
        <v>233</v>
      </c>
      <c r="T23" s="2" t="str">
        <f>IF(Config!$B$2='Data Validations'!$E$2,Text!B23,IF(Config!$B$2='Data Validations'!$E$3,Text!C23,"Select a lanaguage in config"))</f>
        <v>Allows users to use the same additional factors of authentication they use with Azure MFA for on-premises services, such as VPNs and RDP access. Reduces the need to have yet more MFA tokens or other MFA services.</v>
      </c>
      <c r="U23" s="2" t="s">
        <v>297</v>
      </c>
      <c r="V23" s="2" t="s">
        <v>249</v>
      </c>
      <c r="W23" s="10" t="s">
        <v>298</v>
      </c>
      <c r="X23" s="26" t="s">
        <v>1097</v>
      </c>
      <c r="Y23" s="26" t="s">
        <v>237</v>
      </c>
      <c r="Z23" s="26" t="s">
        <v>299</v>
      </c>
      <c r="AA23" s="2" t="s">
        <v>238</v>
      </c>
      <c r="AB23" s="264"/>
      <c r="AC23" s="2" t="s">
        <v>244</v>
      </c>
      <c r="AD23" s="2"/>
    </row>
    <row r="24" spans="1:30" ht="15" customHeight="1" x14ac:dyDescent="0.45">
      <c r="A24" s="305" t="s">
        <v>300</v>
      </c>
      <c r="B24" s="13" t="s">
        <v>259</v>
      </c>
      <c r="C24" s="13" t="s">
        <v>259</v>
      </c>
      <c r="D24" s="13" t="s">
        <v>259</v>
      </c>
      <c r="E24" s="13" t="s">
        <v>259</v>
      </c>
      <c r="F24" s="13" t="s">
        <v>259</v>
      </c>
      <c r="G24" s="151" t="s">
        <v>259</v>
      </c>
      <c r="H24" s="152" t="s">
        <v>259</v>
      </c>
      <c r="I24" s="244" t="s">
        <v>259</v>
      </c>
      <c r="J24" s="175" t="s">
        <v>259</v>
      </c>
      <c r="K24" s="259" t="s">
        <v>259</v>
      </c>
      <c r="L24" s="152" t="s">
        <v>259</v>
      </c>
      <c r="M24" s="152" t="s">
        <v>259</v>
      </c>
      <c r="N24" s="152" t="s">
        <v>259</v>
      </c>
      <c r="O24" s="13" t="s">
        <v>259</v>
      </c>
      <c r="P24" s="13" t="s">
        <v>259</v>
      </c>
      <c r="Q24" s="13" t="s">
        <v>259</v>
      </c>
      <c r="R24" s="13" t="s">
        <v>259</v>
      </c>
      <c r="S24" s="13" t="s">
        <v>259</v>
      </c>
      <c r="T24" s="2" t="str">
        <f>IF(Config!$B$2='Data Validations'!$E$2,Text!B24,IF(Config!$B$2='Data Validations'!$E$3,Text!C24,"Select a lanaguage in config"))</f>
        <v>_</v>
      </c>
      <c r="U24" s="13" t="s">
        <v>259</v>
      </c>
      <c r="V24" s="13" t="s">
        <v>259</v>
      </c>
      <c r="W24" s="13" t="s">
        <v>259</v>
      </c>
      <c r="X24" s="13" t="s">
        <v>259</v>
      </c>
      <c r="Y24" s="13" t="s">
        <v>259</v>
      </c>
      <c r="Z24" s="13" t="s">
        <v>259</v>
      </c>
      <c r="AA24" s="13" t="s">
        <v>259</v>
      </c>
      <c r="AB24" s="264" t="s">
        <v>1502</v>
      </c>
      <c r="AC24" s="2" t="s">
        <v>244</v>
      </c>
      <c r="AD24" s="2"/>
    </row>
    <row r="25" spans="1:30" ht="15" customHeight="1" x14ac:dyDescent="0.45">
      <c r="A25" s="289" t="s">
        <v>302</v>
      </c>
      <c r="B25" s="1" t="s">
        <v>231</v>
      </c>
      <c r="C25" s="1" t="s">
        <v>232</v>
      </c>
      <c r="D25" s="5" t="str">
        <f>CONCATENATE(ROW(A4),",",ROW(A6),",",ROW(A16))</f>
        <v>4,6,16</v>
      </c>
      <c r="E25" s="5" t="s">
        <v>247</v>
      </c>
      <c r="F25" s="13" t="s">
        <v>54</v>
      </c>
      <c r="G25" s="159"/>
      <c r="H25" s="155"/>
      <c r="I25" s="245"/>
      <c r="J25" s="177"/>
      <c r="K25" s="41"/>
      <c r="L25" s="14" t="s">
        <v>54</v>
      </c>
      <c r="M25" s="14" t="s">
        <v>54</v>
      </c>
      <c r="N25" s="14" t="s">
        <v>54</v>
      </c>
      <c r="O25" s="14"/>
      <c r="P25" s="14"/>
      <c r="Q25" s="2"/>
      <c r="R25" s="2"/>
      <c r="S25" s="2" t="s">
        <v>278</v>
      </c>
      <c r="T25" s="2" t="str">
        <f>IF(Config!$B$2='Data Validations'!$E$2,Text!B25,IF(Config!$B$2='Data Validations'!$E$3,Text!C25,"Select a lanaguage in config"))</f>
        <v>Reduces surface area of attacks and stops the use of weak authentication methods that does not support MFA (strong authentication). Allowing legacy authentication in any capacity should be highlight on your risk register</v>
      </c>
      <c r="U25" s="2" t="s">
        <v>303</v>
      </c>
      <c r="V25" s="120" t="s">
        <v>279</v>
      </c>
      <c r="W25" s="10" t="s">
        <v>283</v>
      </c>
      <c r="X25" s="26" t="s">
        <v>285</v>
      </c>
      <c r="Y25" s="26" t="s">
        <v>237</v>
      </c>
      <c r="Z25" s="26" t="s">
        <v>299</v>
      </c>
      <c r="AA25" s="2" t="s">
        <v>238</v>
      </c>
      <c r="AB25" s="264"/>
      <c r="AC25" s="2" t="s">
        <v>244</v>
      </c>
      <c r="AD25" s="2"/>
    </row>
    <row r="26" spans="1:30" ht="15" customHeight="1" x14ac:dyDescent="0.45">
      <c r="A26" s="289" t="s">
        <v>304</v>
      </c>
      <c r="B26" s="1" t="s">
        <v>231</v>
      </c>
      <c r="C26" s="1" t="s">
        <v>246</v>
      </c>
      <c r="D26" s="6" t="str">
        <f>CONCATENATE(ROW(A16))</f>
        <v>16</v>
      </c>
      <c r="E26" s="6" t="s">
        <v>247</v>
      </c>
      <c r="F26" s="13" t="s">
        <v>54</v>
      </c>
      <c r="G26" s="156"/>
      <c r="H26" s="154"/>
      <c r="I26" s="246"/>
      <c r="J26" s="176"/>
      <c r="K26" s="281"/>
      <c r="L26" s="14" t="s">
        <v>54</v>
      </c>
      <c r="M26" s="14" t="s">
        <v>54</v>
      </c>
      <c r="N26" s="14" t="s">
        <v>54</v>
      </c>
      <c r="O26" s="14"/>
      <c r="P26" s="14"/>
      <c r="Q26" s="2"/>
      <c r="R26" s="2"/>
      <c r="S26" s="2" t="s">
        <v>305</v>
      </c>
      <c r="T26" s="2" t="str">
        <f>IF(Config!$B$2='Data Validations'!$E$2,Text!B26,IF(Config!$B$2='Data Validations'!$E$3,Text!C26,"Select a lanaguage in config"))</f>
        <v>The cornerstone of modern authentication providing adaptive access controls based on users, devices, applications, data and risk. Effectively ensuring that right users have the right level of access based on the levels of controls they can adhere to. i.e., users on a fully managed device and MFA can access rich clients and download data whilst users on unmanaged (BYOPC) devices can be restricted to the browser and session controls can extraction of data)</v>
      </c>
      <c r="U26" s="2" t="s">
        <v>303</v>
      </c>
      <c r="V26" s="120" t="s">
        <v>279</v>
      </c>
      <c r="W26" s="10" t="s">
        <v>283</v>
      </c>
      <c r="X26" s="26" t="s">
        <v>285</v>
      </c>
      <c r="Y26" s="26" t="s">
        <v>237</v>
      </c>
      <c r="Z26" s="26" t="s">
        <v>42</v>
      </c>
      <c r="AA26" s="2" t="s">
        <v>238</v>
      </c>
      <c r="AB26" s="264"/>
      <c r="AC26" s="2" t="s">
        <v>244</v>
      </c>
      <c r="AD26" s="1" t="s">
        <v>308</v>
      </c>
    </row>
    <row r="27" spans="1:30" ht="15" customHeight="1" x14ac:dyDescent="0.45">
      <c r="A27" s="289" t="s">
        <v>306</v>
      </c>
      <c r="B27" s="1" t="s">
        <v>1496</v>
      </c>
      <c r="C27" s="1" t="s">
        <v>239</v>
      </c>
      <c r="D27" s="6" t="str">
        <f>CONCATENATE(ROW(A17),",",ROW(A26))</f>
        <v>17,26</v>
      </c>
      <c r="E27" s="6" t="s">
        <v>307</v>
      </c>
      <c r="F27" s="13" t="s">
        <v>54</v>
      </c>
      <c r="G27" s="153"/>
      <c r="H27" s="155"/>
      <c r="I27" s="245"/>
      <c r="J27" s="177"/>
      <c r="K27" s="41"/>
      <c r="L27" s="14" t="s">
        <v>54</v>
      </c>
      <c r="M27" s="14" t="s">
        <v>54</v>
      </c>
      <c r="N27" s="14" t="s">
        <v>54</v>
      </c>
      <c r="O27" s="14"/>
      <c r="P27" s="14"/>
      <c r="Q27" s="2"/>
      <c r="R27" s="2"/>
      <c r="S27" s="2" t="s">
        <v>305</v>
      </c>
      <c r="T27" s="2" t="str">
        <f>IF(Config!$B$2='Data Validations'!$E$2,Text!B27,IF(Config!$B$2='Data Validations'!$E$3,Text!C27,"Select a lanaguage in config"))</f>
        <v xml:space="preserve">Add risks as a condition to conditional access. Not only can this help work towards your Zero Trust strategy. For example, if risk is set to low with a requirement for MFA for all users, they will get additional MFA prompts. As they build a pattern of behaviour within the service (only seen by the A.I. / ML engines), and conform to this pattern they will be challenged for MFA less and less. This can help improve the user experience (less MFA prompts) whilst maintaining a high level of security. </v>
      </c>
      <c r="U27" s="2" t="s">
        <v>303</v>
      </c>
      <c r="V27" s="120" t="s">
        <v>279</v>
      </c>
      <c r="W27" s="10" t="s">
        <v>280</v>
      </c>
      <c r="X27" s="26" t="s">
        <v>285</v>
      </c>
      <c r="Y27" s="26" t="s">
        <v>237</v>
      </c>
      <c r="Z27" s="26" t="s">
        <v>42</v>
      </c>
      <c r="AA27" s="2" t="s">
        <v>238</v>
      </c>
      <c r="AB27" s="264"/>
      <c r="AC27" s="2" t="s">
        <v>244</v>
      </c>
      <c r="AD27" s="1" t="s">
        <v>308</v>
      </c>
    </row>
    <row r="28" spans="1:30" ht="15" customHeight="1" x14ac:dyDescent="0.45">
      <c r="A28" s="289" t="s">
        <v>309</v>
      </c>
      <c r="B28" s="1" t="s">
        <v>1497</v>
      </c>
      <c r="C28" s="1" t="s">
        <v>239</v>
      </c>
      <c r="D28" s="6" t="str">
        <f>CONCATENATE(ROW(A26))</f>
        <v>26</v>
      </c>
      <c r="E28" s="6" t="s">
        <v>310</v>
      </c>
      <c r="F28" s="13" t="s">
        <v>54</v>
      </c>
      <c r="G28" s="156"/>
      <c r="H28" s="154"/>
      <c r="I28" s="245"/>
      <c r="J28" s="176"/>
      <c r="K28" s="41"/>
      <c r="L28" s="14" t="s">
        <v>54</v>
      </c>
      <c r="M28" s="14" t="s">
        <v>54</v>
      </c>
      <c r="N28" s="14" t="s">
        <v>54</v>
      </c>
      <c r="O28" s="14"/>
      <c r="P28" s="14"/>
      <c r="Q28" s="2"/>
      <c r="R28" s="2"/>
      <c r="S28" s="2" t="s">
        <v>305</v>
      </c>
      <c r="T28" s="2" t="str">
        <f>IF(Config!$B$2='Data Validations'!$E$2,Text!B28,IF(Config!$B$2='Data Validations'!$E$3,Text!C28,"Select a lanaguage in config"))</f>
        <v xml:space="preserve">Brings more control for BYOD (especially BOYPC) and external users. Limits sessions on unmanaged devices to browser, controlling/blocking the transfer of data in and out of your environment </v>
      </c>
      <c r="U28" s="2" t="s">
        <v>311</v>
      </c>
      <c r="V28" s="120" t="s">
        <v>312</v>
      </c>
      <c r="W28" s="10" t="s">
        <v>280</v>
      </c>
      <c r="X28" s="26" t="s">
        <v>285</v>
      </c>
      <c r="Y28" s="26" t="s">
        <v>237</v>
      </c>
      <c r="Z28" s="26" t="s">
        <v>42</v>
      </c>
      <c r="AA28" s="2" t="s">
        <v>238</v>
      </c>
      <c r="AB28" s="264"/>
      <c r="AC28" s="2" t="s">
        <v>244</v>
      </c>
      <c r="AD28" s="2"/>
    </row>
    <row r="29" spans="1:30" ht="15" customHeight="1" x14ac:dyDescent="0.45">
      <c r="A29" s="289" t="s">
        <v>313</v>
      </c>
      <c r="B29" s="1" t="s">
        <v>231</v>
      </c>
      <c r="C29" s="1" t="s">
        <v>232</v>
      </c>
      <c r="D29" s="6" t="str">
        <f>CONCATENATE(ROW(A26))</f>
        <v>26</v>
      </c>
      <c r="E29" s="6"/>
      <c r="F29" s="13" t="s">
        <v>54</v>
      </c>
      <c r="G29" s="153"/>
      <c r="H29" s="155"/>
      <c r="I29" s="245"/>
      <c r="J29" s="177"/>
      <c r="L29" s="14" t="s">
        <v>54</v>
      </c>
      <c r="M29" s="14" t="s">
        <v>54</v>
      </c>
      <c r="N29" s="14" t="s">
        <v>54</v>
      </c>
      <c r="O29" s="14"/>
      <c r="P29" s="14"/>
      <c r="Q29" s="2"/>
      <c r="R29" s="2"/>
      <c r="S29" s="2" t="s">
        <v>278</v>
      </c>
      <c r="T29" s="2" t="str">
        <f>IF(Config!$B$2='Data Validations'!$E$2,Text!B29,IF(Config!$B$2='Data Validations'!$E$3,Text!C29,"Select a lanaguage in config"))</f>
        <v>Continuously re-evaluates access, enforcing conditional access controls when there is a change (such as a user moving from a trusted location to an untrusted one) rather than relying on session timeouts. Greatly improves security without impacting user experience</v>
      </c>
      <c r="U29" s="2"/>
      <c r="V29" s="121" t="s">
        <v>279</v>
      </c>
      <c r="W29" s="10" t="s">
        <v>283</v>
      </c>
      <c r="X29" s="36" t="s">
        <v>575</v>
      </c>
      <c r="Y29" s="26" t="s">
        <v>237</v>
      </c>
      <c r="Z29" s="26" t="s">
        <v>42</v>
      </c>
      <c r="AA29" s="2" t="s">
        <v>238</v>
      </c>
      <c r="AB29" s="264"/>
      <c r="AC29" s="2"/>
      <c r="AD29" s="2"/>
    </row>
    <row r="30" spans="1:30" s="59" customFormat="1" ht="15" customHeight="1" x14ac:dyDescent="0.45">
      <c r="A30" s="289" t="s">
        <v>1181</v>
      </c>
      <c r="B30" s="1" t="s">
        <v>231</v>
      </c>
      <c r="C30" s="1" t="s">
        <v>232</v>
      </c>
      <c r="D30" s="6" t="str">
        <f>CONCATENATE(ROW(A16))</f>
        <v>16</v>
      </c>
      <c r="E30" s="6" t="s">
        <v>247</v>
      </c>
      <c r="F30" s="13" t="s">
        <v>54</v>
      </c>
      <c r="G30" s="160"/>
      <c r="H30" s="161"/>
      <c r="I30" s="248"/>
      <c r="J30" s="179"/>
      <c r="K30" s="329"/>
      <c r="L30" s="14" t="s">
        <v>54</v>
      </c>
      <c r="M30" s="14" t="s">
        <v>54</v>
      </c>
      <c r="N30" s="14" t="s">
        <v>54</v>
      </c>
      <c r="O30" s="56"/>
      <c r="P30" s="56"/>
      <c r="Q30" s="57"/>
      <c r="R30" s="57"/>
      <c r="S30" s="123" t="s">
        <v>278</v>
      </c>
      <c r="T30" s="2" t="str">
        <f>IF(Config!$B$2='Data Validations'!$E$2,Text!B30,IF(Config!$B$2='Data Validations'!$E$3,Text!C30,"Select a lanaguage in config"))</f>
        <v>Provide the conditions under which a user can register a device into Microsoft Entra ID, such as being in a trusted location or requiring MFA - this helps ensure that is a user of your organization enrolling a device and not an attacker trying to gain device trust.</v>
      </c>
      <c r="U30" s="58" t="s">
        <v>315</v>
      </c>
      <c r="V30" s="122" t="s">
        <v>279</v>
      </c>
      <c r="W30" s="21" t="s">
        <v>298</v>
      </c>
      <c r="X30" s="37" t="s">
        <v>281</v>
      </c>
      <c r="Y30" s="26" t="s">
        <v>316</v>
      </c>
      <c r="Z30" s="26" t="s">
        <v>317</v>
      </c>
      <c r="AA30" s="57" t="s">
        <v>238</v>
      </c>
      <c r="AB30" s="264" t="s">
        <v>250</v>
      </c>
      <c r="AC30" s="2" t="s">
        <v>244</v>
      </c>
      <c r="AD30" s="1" t="s">
        <v>1485</v>
      </c>
    </row>
    <row r="31" spans="1:30" s="59" customFormat="1" ht="15" customHeight="1" x14ac:dyDescent="0.45">
      <c r="A31" s="289" t="s">
        <v>319</v>
      </c>
      <c r="B31" s="1" t="s">
        <v>231</v>
      </c>
      <c r="C31" s="1" t="s">
        <v>232</v>
      </c>
      <c r="D31" s="6" t="str">
        <f>CONCATENATE(ROW(A16),",",ROW(A26),", OPT:",ROW(A19))</f>
        <v>16,26, OPT:19</v>
      </c>
      <c r="E31" s="6"/>
      <c r="F31" s="13" t="s">
        <v>54</v>
      </c>
      <c r="G31" s="162"/>
      <c r="H31" s="161"/>
      <c r="I31" s="248"/>
      <c r="J31" s="179"/>
      <c r="K31" s="329"/>
      <c r="L31" s="14" t="s">
        <v>54</v>
      </c>
      <c r="M31" s="14" t="s">
        <v>54</v>
      </c>
      <c r="N31" s="14" t="s">
        <v>54</v>
      </c>
      <c r="O31" s="56"/>
      <c r="P31" s="56"/>
      <c r="Q31" s="57"/>
      <c r="R31" s="57"/>
      <c r="S31" s="2" t="s">
        <v>305</v>
      </c>
      <c r="T31" s="2" t="str">
        <f>IF(Config!$B$2='Data Validations'!$E$2,Text!B31,IF(Config!$B$2='Data Validations'!$E$3,Text!C31,"Select a lanaguage in config"))</f>
        <v>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v>
      </c>
      <c r="U31" s="58"/>
      <c r="V31" s="120" t="s">
        <v>279</v>
      </c>
      <c r="W31" s="10" t="s">
        <v>283</v>
      </c>
      <c r="X31" s="26" t="s">
        <v>285</v>
      </c>
      <c r="Y31" s="26" t="s">
        <v>237</v>
      </c>
      <c r="Z31" s="26" t="s">
        <v>42</v>
      </c>
      <c r="AA31" s="57" t="s">
        <v>238</v>
      </c>
      <c r="AB31" s="264"/>
      <c r="AC31" s="2"/>
      <c r="AD31" s="1"/>
    </row>
    <row r="32" spans="1:30" s="59" customFormat="1" ht="15" customHeight="1" x14ac:dyDescent="0.45">
      <c r="A32" s="289" t="s">
        <v>1182</v>
      </c>
      <c r="B32" s="1" t="s">
        <v>231</v>
      </c>
      <c r="C32" s="1" t="s">
        <v>232</v>
      </c>
      <c r="D32" s="6" t="str">
        <f>CONCATENATE(ROW(A26),",", ROW(A31),",",ROW(A188)," OR ",ROW(A189))</f>
        <v>26,31,188 OR 189</v>
      </c>
      <c r="E32" s="6"/>
      <c r="F32" s="13" t="s">
        <v>54</v>
      </c>
      <c r="G32" s="163"/>
      <c r="H32" s="164"/>
      <c r="I32" s="249"/>
      <c r="J32" s="179"/>
      <c r="K32" s="329"/>
      <c r="L32" s="14" t="s">
        <v>54</v>
      </c>
      <c r="M32" s="14" t="s">
        <v>54</v>
      </c>
      <c r="N32" s="14" t="s">
        <v>54</v>
      </c>
      <c r="O32" s="56"/>
      <c r="P32" s="56"/>
      <c r="Q32" s="57"/>
      <c r="R32" s="57"/>
      <c r="S32" s="2" t="s">
        <v>289</v>
      </c>
      <c r="T32" s="2" t="str">
        <f>IF(Config!$B$2='Data Validations'!$E$2,Text!B32,IF(Config!$B$2='Data Validations'!$E$3,Text!C32,"Select a lanaguage in config"))</f>
        <v>Authentication Context allows you set strict or heavily defined security controls over specific applications and data. For example, users, including guests, can be accessing data in a SharePoint site, but some data might be more sensitive. When applying a label with protection (RMS encryption), this block access to the data in Line of Business applications or break processes. With Authentication context, the access to the data can restricted in Conditional Access. For example, when accessing the specific data within the SharePoint site, the Conditional Access policy may require a compliant device or a stronger Authentication Strength to access. In turn, this can reduce the number of conditional access policies required to great the equivalent level of granular access.</v>
      </c>
      <c r="U32" s="58"/>
      <c r="V32" s="122" t="s">
        <v>320</v>
      </c>
      <c r="W32" s="10" t="s">
        <v>283</v>
      </c>
      <c r="X32" s="26" t="s">
        <v>1206</v>
      </c>
      <c r="Y32" s="26" t="s">
        <v>237</v>
      </c>
      <c r="Z32" s="26" t="s">
        <v>42</v>
      </c>
      <c r="AA32" s="57" t="s">
        <v>238</v>
      </c>
      <c r="AB32" s="264"/>
      <c r="AC32" s="2"/>
      <c r="AD32" s="1"/>
    </row>
    <row r="33" spans="1:30" s="59" customFormat="1" ht="15" customHeight="1" x14ac:dyDescent="0.45">
      <c r="A33" s="289" t="s">
        <v>321</v>
      </c>
      <c r="B33" s="1" t="s">
        <v>1448</v>
      </c>
      <c r="C33" s="1" t="s">
        <v>232</v>
      </c>
      <c r="D33" s="6"/>
      <c r="E33" s="6"/>
      <c r="F33" s="13" t="s">
        <v>54</v>
      </c>
      <c r="G33" s="163"/>
      <c r="H33" s="164"/>
      <c r="I33" s="249"/>
      <c r="J33" s="179"/>
      <c r="K33" s="41"/>
      <c r="L33" s="14" t="s">
        <v>54</v>
      </c>
      <c r="M33" s="14" t="s">
        <v>54</v>
      </c>
      <c r="N33" s="14" t="s">
        <v>54</v>
      </c>
      <c r="O33" s="56"/>
      <c r="P33" s="56"/>
      <c r="Q33" s="57"/>
      <c r="R33" s="57"/>
      <c r="S33" s="2" t="s">
        <v>261</v>
      </c>
      <c r="T33" s="2" t="str">
        <f>IF(Config!$B$2='Data Validations'!$E$2,Text!B33,IF(Config!$B$2='Data Validations'!$E$3,Text!C33,"Select a lanaguage in config"))</f>
        <v>Conditional Access for workload identities enables blocking service principals: from outside of known public IP ranges, based on risk detected by Microsoft Entra ID Protection, in combination with authentication contexts.</v>
      </c>
      <c r="U33" s="58"/>
      <c r="V33" s="122"/>
      <c r="W33" s="10" t="s">
        <v>283</v>
      </c>
      <c r="X33" s="37" t="s">
        <v>285</v>
      </c>
      <c r="Y33" s="26" t="s">
        <v>237</v>
      </c>
      <c r="Z33" s="26" t="s">
        <v>42</v>
      </c>
      <c r="AA33" s="57" t="s">
        <v>238</v>
      </c>
      <c r="AB33" s="264"/>
      <c r="AC33" s="2"/>
      <c r="AD33" s="1"/>
    </row>
    <row r="34" spans="1:30" ht="15" customHeight="1" x14ac:dyDescent="0.45">
      <c r="A34" s="289" t="s">
        <v>1188</v>
      </c>
      <c r="B34" s="1" t="s">
        <v>1184</v>
      </c>
      <c r="C34" s="147" t="s">
        <v>239</v>
      </c>
      <c r="D34" s="6" t="str">
        <f>CONCATENATE(ROW(A26))</f>
        <v>26</v>
      </c>
      <c r="E34" s="148"/>
      <c r="F34" s="13" t="s">
        <v>54</v>
      </c>
      <c r="G34" s="160"/>
      <c r="H34" s="161"/>
      <c r="I34" s="248"/>
      <c r="J34" s="179"/>
      <c r="K34" s="41"/>
      <c r="L34" s="14" t="s">
        <v>54</v>
      </c>
      <c r="M34" s="14" t="s">
        <v>54</v>
      </c>
      <c r="N34" s="14" t="s">
        <v>54</v>
      </c>
      <c r="O34" s="14"/>
      <c r="P34" s="14"/>
      <c r="Q34" s="2"/>
      <c r="R34" s="2"/>
      <c r="S34" s="2" t="s">
        <v>305</v>
      </c>
      <c r="T34" s="2" t="str">
        <f>IF(Config!$B$2='Data Validations'!$E$2,Text!B34,IF(Config!$B$2='Data Validations'!$E$3,Text!C34,"Select a lanaguage in config"))</f>
        <v>In addition to sending traffic to Global Secure Access, administrators can use Conditional Access policies to secure traffic profiles. They can mix and match controls as needed like requiring multifactor authentication, requiring a compliant device, or defining an acceptable sign-in risk. Applying these controls to network traffic not just cloud applications allows for what we call universal Conditional Access.</v>
      </c>
      <c r="U34" s="2"/>
      <c r="V34" s="62"/>
      <c r="W34" s="10" t="s">
        <v>348</v>
      </c>
      <c r="X34" s="37" t="s">
        <v>285</v>
      </c>
      <c r="Y34" s="26" t="s">
        <v>349</v>
      </c>
      <c r="Z34" s="26" t="s">
        <v>42</v>
      </c>
      <c r="AA34" s="57" t="s">
        <v>238</v>
      </c>
      <c r="AB34" s="264"/>
      <c r="AC34" s="2"/>
      <c r="AD34" s="2"/>
    </row>
    <row r="35" spans="1:30" ht="15" customHeight="1" x14ac:dyDescent="0.45">
      <c r="A35" s="306" t="s">
        <v>322</v>
      </c>
      <c r="B35" s="1" t="s">
        <v>323</v>
      </c>
      <c r="C35" s="1" t="s">
        <v>296</v>
      </c>
      <c r="D35" s="6" t="str">
        <f>CONCATENATE(ROW(A26))</f>
        <v>26</v>
      </c>
      <c r="E35" s="6"/>
      <c r="F35" s="13" t="s">
        <v>54</v>
      </c>
      <c r="G35" s="165"/>
      <c r="H35" s="166"/>
      <c r="I35" s="250"/>
      <c r="J35" s="180"/>
      <c r="K35" s="41"/>
      <c r="L35" s="14" t="s">
        <v>54</v>
      </c>
      <c r="M35" s="14" t="s">
        <v>54</v>
      </c>
      <c r="N35" s="14" t="s">
        <v>54</v>
      </c>
      <c r="O35" s="14"/>
      <c r="P35" s="14"/>
      <c r="Q35" s="2"/>
      <c r="R35" s="2"/>
      <c r="S35" s="2" t="s">
        <v>324</v>
      </c>
      <c r="T35" s="2" t="str">
        <f>IF(Config!$B$2='Data Validations'!$E$2,Text!B35,IF(Config!$B$2='Data Validations'!$E$3,Text!C35,"Select a lanaguage in config"))</f>
        <v>Conditional Access is your frontline for access into your environment, having professional services review and refine your policies can improve your security posture, ensure you are taking a modern approach and potentially improve the end user experience.</v>
      </c>
      <c r="U35" s="2" t="s">
        <v>325</v>
      </c>
      <c r="V35" s="62" t="s">
        <v>323</v>
      </c>
      <c r="W35" s="4" t="s">
        <v>323</v>
      </c>
      <c r="Y35" s="25" t="s">
        <v>326</v>
      </c>
      <c r="Z35" s="25"/>
      <c r="AA35" s="2" t="s">
        <v>238</v>
      </c>
      <c r="AB35" s="264"/>
      <c r="AC35" s="2" t="s">
        <v>244</v>
      </c>
      <c r="AD35" s="2"/>
    </row>
    <row r="36" spans="1:30" ht="15" customHeight="1" x14ac:dyDescent="0.45">
      <c r="A36" s="305" t="s">
        <v>327</v>
      </c>
      <c r="B36" s="13" t="s">
        <v>259</v>
      </c>
      <c r="C36" s="13" t="s">
        <v>259</v>
      </c>
      <c r="D36" s="13" t="s">
        <v>259</v>
      </c>
      <c r="E36" s="13" t="s">
        <v>259</v>
      </c>
      <c r="F36" s="13" t="s">
        <v>259</v>
      </c>
      <c r="G36" s="151" t="s">
        <v>259</v>
      </c>
      <c r="H36" s="152" t="s">
        <v>259</v>
      </c>
      <c r="I36" s="244" t="s">
        <v>259</v>
      </c>
      <c r="J36" s="175" t="s">
        <v>259</v>
      </c>
      <c r="K36" s="259" t="s">
        <v>259</v>
      </c>
      <c r="L36" s="152" t="s">
        <v>259</v>
      </c>
      <c r="M36" s="152" t="s">
        <v>259</v>
      </c>
      <c r="N36" s="152" t="s">
        <v>259</v>
      </c>
      <c r="O36" s="2" t="s">
        <v>259</v>
      </c>
      <c r="P36" s="2" t="s">
        <v>259</v>
      </c>
      <c r="Q36" s="2" t="s">
        <v>259</v>
      </c>
      <c r="R36" s="2" t="s">
        <v>259</v>
      </c>
      <c r="S36" s="2" t="s">
        <v>259</v>
      </c>
      <c r="T36" s="2" t="str">
        <f>IF(Config!$B$2='Data Validations'!$E$2,Text!B36,IF(Config!$B$2='Data Validations'!$E$3,Text!C36,"Select a lanaguage in config"))</f>
        <v>_</v>
      </c>
      <c r="U36" s="2" t="s">
        <v>259</v>
      </c>
      <c r="V36" s="2" t="s">
        <v>259</v>
      </c>
      <c r="W36" s="2" t="s">
        <v>259</v>
      </c>
      <c r="X36" s="2" t="s">
        <v>259</v>
      </c>
      <c r="Y36" s="2" t="s">
        <v>259</v>
      </c>
      <c r="Z36" s="2" t="s">
        <v>259</v>
      </c>
      <c r="AA36" s="2" t="s">
        <v>259</v>
      </c>
      <c r="AB36" s="61" t="s">
        <v>328</v>
      </c>
      <c r="AC36" s="2" t="s">
        <v>244</v>
      </c>
      <c r="AD36" s="2"/>
    </row>
    <row r="37" spans="1:30" ht="15" customHeight="1" x14ac:dyDescent="0.45">
      <c r="A37" s="289" t="s">
        <v>329</v>
      </c>
      <c r="B37" s="1" t="s">
        <v>231</v>
      </c>
      <c r="C37" s="1" t="s">
        <v>232</v>
      </c>
      <c r="D37" s="6" t="str">
        <f>CONCATENATE(ROW(A4))</f>
        <v>4</v>
      </c>
      <c r="E37" s="6" t="s">
        <v>247</v>
      </c>
      <c r="F37" s="13" t="s">
        <v>54</v>
      </c>
      <c r="G37" s="156"/>
      <c r="H37" s="157"/>
      <c r="I37" s="245"/>
      <c r="J37" s="176"/>
      <c r="K37" s="41"/>
      <c r="L37" s="14" t="s">
        <v>54</v>
      </c>
      <c r="M37" s="14" t="s">
        <v>54</v>
      </c>
      <c r="N37" s="14" t="s">
        <v>54</v>
      </c>
      <c r="O37" s="14"/>
      <c r="P37" s="14"/>
      <c r="Q37" s="2"/>
      <c r="R37" s="2"/>
      <c r="S37" s="2" t="s">
        <v>278</v>
      </c>
      <c r="T37" s="2" t="str">
        <f>IF(Config!$B$2='Data Validations'!$E$2,Text!B37,IF(Config!$B$2='Data Validations'!$E$3,Text!C37,"Select a lanaguage in config"))</f>
        <v>Following the Zero Trust principal of least privilege, granting your admins only the permissions they require can reduce the impact of breach, both from external attackers and insider threats</v>
      </c>
      <c r="U37" s="2" t="s">
        <v>330</v>
      </c>
      <c r="V37" s="2" t="s">
        <v>331</v>
      </c>
      <c r="W37" s="10" t="s">
        <v>332</v>
      </c>
      <c r="X37" s="26" t="s">
        <v>575</v>
      </c>
      <c r="Y37" s="26" t="s">
        <v>333</v>
      </c>
      <c r="Z37" s="26" t="s">
        <v>42</v>
      </c>
      <c r="AA37" s="2" t="s">
        <v>238</v>
      </c>
      <c r="AB37" s="264"/>
      <c r="AC37" s="2" t="s">
        <v>244</v>
      </c>
      <c r="AD37" s="2"/>
    </row>
    <row r="38" spans="1:30" ht="15" customHeight="1" x14ac:dyDescent="0.45">
      <c r="A38" s="289" t="s">
        <v>334</v>
      </c>
      <c r="B38" s="1" t="s">
        <v>1496</v>
      </c>
      <c r="C38" s="1" t="s">
        <v>239</v>
      </c>
      <c r="D38" s="6" t="str">
        <f>CONCATENATE(ROW(A4),",",ROW(A16))</f>
        <v>4,16</v>
      </c>
      <c r="E38" s="6" t="s">
        <v>307</v>
      </c>
      <c r="F38" s="13" t="s">
        <v>54</v>
      </c>
      <c r="G38" s="153"/>
      <c r="H38" s="154"/>
      <c r="I38" s="245"/>
      <c r="J38" s="178"/>
      <c r="K38" s="41"/>
      <c r="L38" s="14" t="s">
        <v>54</v>
      </c>
      <c r="M38" s="14" t="s">
        <v>54</v>
      </c>
      <c r="N38" s="14" t="s">
        <v>54</v>
      </c>
      <c r="O38" s="14"/>
      <c r="P38" s="14"/>
      <c r="Q38" s="2"/>
      <c r="R38" s="2"/>
      <c r="S38" s="2" t="s">
        <v>278</v>
      </c>
      <c r="T38" s="2" t="str">
        <f>IF(Config!$B$2='Data Validations'!$E$2,Text!B38,IF(Config!$B$2='Data Validations'!$E$3,Text!C38,"Select a lanaguage in config"))</f>
        <v>Removes privileged standing access and provides auditing and justification around the use of privilege for both internal admins and external support (such as contractors). This significantly reduces your surface area of attack and the damage that can be done in a breach scenario</v>
      </c>
      <c r="U38" s="2" t="s">
        <v>303</v>
      </c>
      <c r="V38" s="120" t="s">
        <v>279</v>
      </c>
      <c r="W38" s="10" t="s">
        <v>335</v>
      </c>
      <c r="X38" s="26" t="s">
        <v>575</v>
      </c>
      <c r="Y38" s="26" t="s">
        <v>333</v>
      </c>
      <c r="Z38" s="26" t="s">
        <v>42</v>
      </c>
      <c r="AA38" s="2" t="s">
        <v>238</v>
      </c>
      <c r="AB38" s="264"/>
      <c r="AC38" s="2" t="s">
        <v>244</v>
      </c>
      <c r="AD38" s="1" t="s">
        <v>336</v>
      </c>
    </row>
    <row r="39" spans="1:30" ht="15" customHeight="1" x14ac:dyDescent="0.45">
      <c r="A39" s="289" t="s">
        <v>337</v>
      </c>
      <c r="B39" s="1" t="s">
        <v>1497</v>
      </c>
      <c r="C39" s="1" t="s">
        <v>239</v>
      </c>
      <c r="D39" s="6" t="str">
        <f>CONCATENATE(ROW(A4),",",ROW(A8),",",ROW(A37))</f>
        <v>4,8,37</v>
      </c>
      <c r="E39" s="6" t="s">
        <v>307</v>
      </c>
      <c r="F39" s="13" t="s">
        <v>54</v>
      </c>
      <c r="G39" s="153"/>
      <c r="H39" s="155"/>
      <c r="I39" s="245"/>
      <c r="J39" s="176"/>
      <c r="K39" s="41"/>
      <c r="L39" s="14" t="s">
        <v>54</v>
      </c>
      <c r="M39" s="14" t="s">
        <v>54</v>
      </c>
      <c r="N39" s="14" t="s">
        <v>54</v>
      </c>
      <c r="O39" s="14"/>
      <c r="P39" s="14"/>
      <c r="Q39" s="2"/>
      <c r="R39" s="2"/>
      <c r="S39" s="62" t="s">
        <v>278</v>
      </c>
      <c r="T39" s="2" t="str">
        <f>IF(Config!$B$2='Data Validations'!$E$2,Text!B39,IF(Config!$B$2='Data Validations'!$E$3,Text!C39,"Select a lanaguage in config"))</f>
        <v>Provides additional auditing and justification around the most dangerous tasks (such as new-journalrule) that an Exchange admin can run.</v>
      </c>
      <c r="U39" s="4" t="s">
        <v>330</v>
      </c>
      <c r="V39" s="122" t="s">
        <v>263</v>
      </c>
      <c r="W39" s="21" t="s">
        <v>264</v>
      </c>
      <c r="X39" s="26" t="s">
        <v>575</v>
      </c>
      <c r="Y39" s="26" t="s">
        <v>333</v>
      </c>
      <c r="Z39" s="26" t="s">
        <v>299</v>
      </c>
      <c r="AA39" s="2" t="s">
        <v>238</v>
      </c>
      <c r="AB39" s="264"/>
      <c r="AC39" s="2" t="s">
        <v>244</v>
      </c>
      <c r="AD39" s="1" t="s">
        <v>323</v>
      </c>
    </row>
    <row r="40" spans="1:30" ht="15" customHeight="1" x14ac:dyDescent="0.45">
      <c r="A40" s="289" t="s">
        <v>338</v>
      </c>
      <c r="B40" s="1" t="s">
        <v>231</v>
      </c>
      <c r="C40" s="1" t="s">
        <v>232</v>
      </c>
      <c r="D40" s="6" t="str">
        <f>CONCATENATE(ROW(A4),",",ROW(A26))</f>
        <v>4,26</v>
      </c>
      <c r="E40" s="6"/>
      <c r="F40" s="13" t="s">
        <v>54</v>
      </c>
      <c r="G40" s="158"/>
      <c r="H40" s="155"/>
      <c r="I40" s="245"/>
      <c r="J40" s="177"/>
      <c r="K40" s="41"/>
      <c r="L40" s="14" t="s">
        <v>54</v>
      </c>
      <c r="M40" s="14" t="s">
        <v>54</v>
      </c>
      <c r="N40" s="14" t="s">
        <v>54</v>
      </c>
      <c r="O40" s="14"/>
      <c r="P40" s="14"/>
      <c r="Q40" s="2"/>
      <c r="R40" s="2"/>
      <c r="S40" s="62" t="s">
        <v>324</v>
      </c>
      <c r="T40" s="2" t="str">
        <f>IF(Config!$B$2='Data Validations'!$E$2,Text!B40,IF(Config!$B$2='Data Validations'!$E$3,Text!C40,"Select a lanaguage in config"))</f>
        <v>Administrators can add any Microsoft Entra registered application to Conditional Access policies.</v>
      </c>
      <c r="U40" s="4" t="s">
        <v>303</v>
      </c>
      <c r="V40" s="120" t="s">
        <v>279</v>
      </c>
      <c r="W40" s="10" t="s">
        <v>283</v>
      </c>
      <c r="X40" s="26" t="s">
        <v>1235</v>
      </c>
      <c r="Y40" s="26" t="s">
        <v>237</v>
      </c>
      <c r="Z40" s="26" t="s">
        <v>317</v>
      </c>
      <c r="AA40" s="2" t="s">
        <v>238</v>
      </c>
      <c r="AB40" s="264"/>
      <c r="AC40" s="2"/>
      <c r="AD40" s="1"/>
    </row>
    <row r="41" spans="1:30" ht="15" customHeight="1" x14ac:dyDescent="0.45">
      <c r="A41" s="289" t="s">
        <v>1449</v>
      </c>
      <c r="B41" s="1" t="s">
        <v>1448</v>
      </c>
      <c r="C41" s="1" t="s">
        <v>239</v>
      </c>
      <c r="D41" s="6" t="str">
        <f>CONCATENATE(ROW(A129),",",ROW(A36))</f>
        <v>129,36</v>
      </c>
      <c r="E41" s="6"/>
      <c r="F41" s="13" t="s">
        <v>54</v>
      </c>
      <c r="G41" s="156"/>
      <c r="H41" s="154"/>
      <c r="I41" s="154"/>
      <c r="J41" s="177"/>
      <c r="K41" s="41"/>
      <c r="L41" s="14" t="s">
        <v>54</v>
      </c>
      <c r="M41" s="14" t="s">
        <v>54</v>
      </c>
      <c r="N41" s="14" t="s">
        <v>54</v>
      </c>
      <c r="O41" s="14"/>
      <c r="P41" s="14"/>
      <c r="Q41" s="2"/>
      <c r="R41" s="2"/>
      <c r="S41" s="62" t="s">
        <v>324</v>
      </c>
      <c r="T41" s="2" t="str">
        <f>IF(Config!$B$2='Data Validations'!$E$2,Text!B41,IF(Config!$B$2='Data Validations'!$E$3,Text!C41,"Select a lanaguage in config"))</f>
        <v>Secures and governs workload identities (apps, service principals, managed identities) as the successor to Entra Permissions Management. Enables Conditional Access, identity risk detection, access reviews, and health insights for non‑human identities, reducing over‑privileged access and securing automated workloads such as CI/CD and service-to-service access.</v>
      </c>
      <c r="U41" s="4" t="s">
        <v>303</v>
      </c>
      <c r="V41" s="120" t="s">
        <v>279</v>
      </c>
      <c r="W41" s="10" t="s">
        <v>1205</v>
      </c>
      <c r="X41" s="36" t="s">
        <v>1236</v>
      </c>
      <c r="Y41" s="26" t="s">
        <v>237</v>
      </c>
      <c r="Z41" s="26" t="s">
        <v>299</v>
      </c>
      <c r="AA41" s="2" t="s">
        <v>238</v>
      </c>
      <c r="AB41" s="264"/>
      <c r="AC41" s="2" t="s">
        <v>244</v>
      </c>
      <c r="AD41" s="1"/>
    </row>
    <row r="42" spans="1:30" x14ac:dyDescent="0.45">
      <c r="A42" s="289" t="s">
        <v>1463</v>
      </c>
      <c r="B42" s="147" t="s">
        <v>1526</v>
      </c>
      <c r="C42" s="147" t="s">
        <v>239</v>
      </c>
      <c r="D42" s="6" t="str">
        <f>CONCATENATE(ROW(A4),",",ROW(A26))</f>
        <v>4,26</v>
      </c>
      <c r="E42" s="148"/>
      <c r="F42" s="13" t="s">
        <v>54</v>
      </c>
      <c r="G42" s="156"/>
      <c r="H42" s="156"/>
      <c r="I42" s="153"/>
      <c r="J42" s="153"/>
      <c r="K42" s="41"/>
      <c r="L42" s="14" t="s">
        <v>54</v>
      </c>
      <c r="M42" s="14" t="s">
        <v>54</v>
      </c>
      <c r="N42" s="14" t="s">
        <v>54</v>
      </c>
      <c r="O42" s="14"/>
      <c r="P42" s="14"/>
      <c r="Q42" s="2"/>
      <c r="R42" s="2"/>
      <c r="S42" s="2" t="s">
        <v>305</v>
      </c>
      <c r="T42" s="2" t="str">
        <f>IF(Config!$B$2='Data Validations'!$E$2,Text!B42,IF(Config!$B$2='Data Validations'!$E$3,Text!C42,"Select a lanaguage in config"))</f>
        <v>AI agents act autonomously across data, apps, and workflows, creating new risk if over‑privileged. Agent 365 treats agents as first‑class identities with Microsoft Entra Agent ID, enforcing least privilege, Conditional Access, and lifecycle ownership. Organizations limit blast radius, prevent persistent access, and meet audit and regulatory expectations as agents scale.</v>
      </c>
      <c r="U42" s="4" t="s">
        <v>42</v>
      </c>
      <c r="V42" s="120" t="s">
        <v>1477</v>
      </c>
      <c r="W42" s="21" t="s">
        <v>1481</v>
      </c>
      <c r="X42" s="262" t="s">
        <v>1482</v>
      </c>
      <c r="Y42" s="262" t="s">
        <v>1484</v>
      </c>
      <c r="Z42" s="262" t="s">
        <v>42</v>
      </c>
      <c r="AA42" s="13" t="s">
        <v>238</v>
      </c>
      <c r="AB42" s="40"/>
      <c r="AC42" s="2" t="s">
        <v>244</v>
      </c>
    </row>
    <row r="43" spans="1:30" x14ac:dyDescent="0.45">
      <c r="A43" s="289" t="s">
        <v>1523</v>
      </c>
      <c r="B43" s="147" t="s">
        <v>1517</v>
      </c>
      <c r="C43" s="147" t="s">
        <v>1534</v>
      </c>
      <c r="D43" s="6" t="str">
        <f>CONCATENATE(ROW(A4),",",ROW(A26),",",ROW(A38))</f>
        <v>4,26,38</v>
      </c>
      <c r="E43" s="148"/>
      <c r="F43" s="13" t="s">
        <v>54</v>
      </c>
      <c r="G43" s="156"/>
      <c r="H43" s="370"/>
      <c r="I43" s="337"/>
      <c r="J43" s="368"/>
      <c r="K43" s="41"/>
      <c r="L43" s="14" t="s">
        <v>54</v>
      </c>
      <c r="M43" s="14" t="s">
        <v>54</v>
      </c>
      <c r="N43" s="14" t="s">
        <v>54</v>
      </c>
      <c r="O43" s="14"/>
      <c r="P43" s="14"/>
      <c r="Q43" s="2"/>
      <c r="R43" s="2"/>
      <c r="S43" s="2" t="s">
        <v>305</v>
      </c>
      <c r="T43" s="2" t="str">
        <f>IF(Config!$B$2='Data Validations'!$E$2,Text!B43,IF(Config!$B$2='Data Validations'!$E$3,Text!C43,"Select a lanaguage in config"))</f>
        <v>Extends identity governance to AI agents and copilots, ensuring all non-human actors operate under controlled identities, enforced access policies, and least privilege. Reduces risk of unauthorized access, privilege escalation, and uncontrolled automation by introducing policy-based enforcement, lifecycle governance, and continuous monitoring of agent activity across the enterprise.</v>
      </c>
      <c r="U43" s="4" t="s">
        <v>42</v>
      </c>
      <c r="V43" s="120" t="s">
        <v>1477</v>
      </c>
      <c r="W43" s="21" t="s">
        <v>1481</v>
      </c>
      <c r="X43" s="262" t="s">
        <v>1482</v>
      </c>
      <c r="Y43" s="262" t="s">
        <v>1484</v>
      </c>
      <c r="Z43" s="262" t="s">
        <v>42</v>
      </c>
      <c r="AA43" s="13" t="s">
        <v>238</v>
      </c>
      <c r="AB43" s="40"/>
      <c r="AC43" s="2" t="s">
        <v>244</v>
      </c>
    </row>
    <row r="44" spans="1:30" ht="15" customHeight="1" x14ac:dyDescent="0.45">
      <c r="A44" s="305" t="s">
        <v>1185</v>
      </c>
      <c r="B44" s="13" t="s">
        <v>259</v>
      </c>
      <c r="C44" s="13" t="s">
        <v>259</v>
      </c>
      <c r="D44" s="13" t="s">
        <v>259</v>
      </c>
      <c r="E44" s="13" t="s">
        <v>259</v>
      </c>
      <c r="F44" s="13" t="s">
        <v>259</v>
      </c>
      <c r="G44" s="151" t="s">
        <v>259</v>
      </c>
      <c r="H44" s="152" t="s">
        <v>259</v>
      </c>
      <c r="I44" s="244" t="s">
        <v>259</v>
      </c>
      <c r="J44" s="175" t="s">
        <v>259</v>
      </c>
      <c r="K44" s="259" t="s">
        <v>259</v>
      </c>
      <c r="L44" s="152" t="s">
        <v>259</v>
      </c>
      <c r="M44" s="152" t="s">
        <v>259</v>
      </c>
      <c r="N44" s="152" t="s">
        <v>259</v>
      </c>
      <c r="O44" s="13" t="s">
        <v>259</v>
      </c>
      <c r="P44" s="13" t="s">
        <v>259</v>
      </c>
      <c r="Q44" s="13" t="s">
        <v>259</v>
      </c>
      <c r="R44" s="13" t="s">
        <v>259</v>
      </c>
      <c r="S44" s="13" t="s">
        <v>259</v>
      </c>
      <c r="T44" s="2" t="str">
        <f>IF(Config!$B$2='Data Validations'!$E$2,Text!B44,IF(Config!$B$2='Data Validations'!$E$3,Text!C44,"Select a lanaguage in config"))</f>
        <v>_</v>
      </c>
      <c r="U44" s="13" t="s">
        <v>259</v>
      </c>
      <c r="V44" s="13" t="s">
        <v>259</v>
      </c>
      <c r="W44" s="13" t="s">
        <v>259</v>
      </c>
      <c r="X44" s="13" t="s">
        <v>259</v>
      </c>
      <c r="Y44" s="13" t="s">
        <v>259</v>
      </c>
      <c r="Z44" s="13" t="s">
        <v>259</v>
      </c>
      <c r="AA44" s="13" t="s">
        <v>259</v>
      </c>
      <c r="AB44" s="61" t="s">
        <v>276</v>
      </c>
      <c r="AC44" s="2" t="s">
        <v>244</v>
      </c>
      <c r="AD44" s="2"/>
    </row>
    <row r="45" spans="1:30" ht="15" customHeight="1" x14ac:dyDescent="0.45">
      <c r="A45" s="289" t="s">
        <v>184</v>
      </c>
      <c r="B45" s="2" t="s">
        <v>231</v>
      </c>
      <c r="C45" s="2" t="s">
        <v>232</v>
      </c>
      <c r="D45" s="5" t="str">
        <f>CONCATENATE(ROW(A4))</f>
        <v>4</v>
      </c>
      <c r="E45" s="5" t="s">
        <v>247</v>
      </c>
      <c r="F45" s="13" t="s">
        <v>54</v>
      </c>
      <c r="G45" s="153"/>
      <c r="H45" s="155"/>
      <c r="I45" s="245"/>
      <c r="J45" s="177"/>
      <c r="K45" s="41"/>
      <c r="L45" s="14" t="s">
        <v>54</v>
      </c>
      <c r="M45" s="14" t="s">
        <v>54</v>
      </c>
      <c r="N45" s="14" t="s">
        <v>54</v>
      </c>
      <c r="O45" s="14"/>
      <c r="P45" s="14"/>
      <c r="Q45" s="2"/>
      <c r="R45" s="2"/>
      <c r="S45" s="2" t="s">
        <v>278</v>
      </c>
      <c r="T45" s="2" t="str">
        <f>IF(Config!$B$2='Data Validations'!$E$2,Text!B45,IF(Config!$B$2='Data Validations'!$E$3,Text!C45,"Select a lanaguage in config"))</f>
        <v>Reduces expose of potential PII data and gives control to admins who can grant consent if needed</v>
      </c>
      <c r="U45" s="2" t="s">
        <v>42</v>
      </c>
      <c r="V45" s="120" t="s">
        <v>279</v>
      </c>
      <c r="W45" s="10" t="s">
        <v>242</v>
      </c>
      <c r="X45" s="26" t="s">
        <v>281</v>
      </c>
      <c r="Y45" s="26" t="s">
        <v>237</v>
      </c>
      <c r="Z45" s="26" t="s">
        <v>256</v>
      </c>
      <c r="AA45" s="2" t="s">
        <v>238</v>
      </c>
      <c r="AB45" s="264"/>
      <c r="AC45" s="2" t="s">
        <v>244</v>
      </c>
      <c r="AD45" s="2"/>
    </row>
    <row r="46" spans="1:30" ht="15" customHeight="1" x14ac:dyDescent="0.45">
      <c r="A46" s="289" t="s">
        <v>340</v>
      </c>
      <c r="B46" s="1" t="s">
        <v>231</v>
      </c>
      <c r="C46" s="1" t="s">
        <v>239</v>
      </c>
      <c r="D46" s="6" t="str">
        <f>CONCATENATE(ROW(A26))</f>
        <v>26</v>
      </c>
      <c r="E46" s="6"/>
      <c r="F46" s="13" t="s">
        <v>54</v>
      </c>
      <c r="G46" s="153"/>
      <c r="H46" s="154"/>
      <c r="I46" s="245"/>
      <c r="J46" s="176"/>
      <c r="K46" s="41"/>
      <c r="L46" s="14" t="s">
        <v>54</v>
      </c>
      <c r="M46" s="14" t="s">
        <v>54</v>
      </c>
      <c r="N46" s="14" t="s">
        <v>54</v>
      </c>
      <c r="O46" s="14"/>
      <c r="P46" s="14"/>
      <c r="Q46" s="2"/>
      <c r="R46" s="2"/>
      <c r="S46" s="2" t="s">
        <v>289</v>
      </c>
      <c r="T46" s="2" t="str">
        <f>IF(Config!$B$2='Data Validations'!$E$2,Text!B46,IF(Config!$B$2='Data Validations'!$E$3,Text!C46,"Select a lanaguage in config"))</f>
        <v>Can remove the need for VPNs by providing access to on-premises applications via Microsoft Entra ID (including Conditional Access, MFA, Identity Governance etc.). Outbound only connections significantly reducing your surface area of attack. Follows Zero trust application principals of verifying each connection to each application (rather than a VPN granting access to all applications and the internal network)</v>
      </c>
      <c r="U46" s="4" t="s">
        <v>341</v>
      </c>
      <c r="V46" s="122" t="s">
        <v>279</v>
      </c>
      <c r="W46" s="21" t="s">
        <v>342</v>
      </c>
      <c r="X46" s="37" t="s">
        <v>1241</v>
      </c>
      <c r="Y46" s="26" t="s">
        <v>237</v>
      </c>
      <c r="Z46" s="26" t="s">
        <v>256</v>
      </c>
      <c r="AA46" s="2" t="s">
        <v>238</v>
      </c>
      <c r="AB46" s="264"/>
      <c r="AC46" s="2" t="s">
        <v>244</v>
      </c>
      <c r="AD46" s="2"/>
    </row>
    <row r="47" spans="1:30" ht="15" customHeight="1" x14ac:dyDescent="0.45">
      <c r="A47" s="289" t="s">
        <v>120</v>
      </c>
      <c r="B47" s="147" t="s">
        <v>1183</v>
      </c>
      <c r="C47" s="1" t="s">
        <v>239</v>
      </c>
      <c r="D47" s="6" t="str">
        <f>CONCATENATE(ROW(A4),",",ROW(A26),",",ROW(A76))</f>
        <v>4,26,76</v>
      </c>
      <c r="E47" s="6"/>
      <c r="F47" s="13" t="s">
        <v>54</v>
      </c>
      <c r="G47" s="153"/>
      <c r="H47" s="157"/>
      <c r="I47" s="247"/>
      <c r="J47" s="177"/>
      <c r="K47" s="41"/>
      <c r="L47" s="14" t="s">
        <v>54</v>
      </c>
      <c r="M47" s="14" t="s">
        <v>54</v>
      </c>
      <c r="N47" s="14" t="s">
        <v>54</v>
      </c>
      <c r="O47" s="14"/>
      <c r="P47" s="14"/>
      <c r="Q47" s="2"/>
      <c r="R47" s="2"/>
      <c r="S47" s="62" t="s">
        <v>261</v>
      </c>
      <c r="T47" s="2" t="str">
        <f>IF(Config!$B$2='Data Validations'!$E$2,Text!B47,IF(Config!$B$2='Data Validations'!$E$3,Text!C47,"Select a lanaguage in config"))</f>
        <v>Allow iOS and Android devices to access on-premises resources (such as file and print services), protected by Conditional Access, MFA etc. without the need for additional VPN hardware and inbound ports</v>
      </c>
      <c r="U47" s="4" t="s">
        <v>341</v>
      </c>
      <c r="V47" s="298" t="s">
        <v>1220</v>
      </c>
      <c r="W47" s="10" t="s">
        <v>343</v>
      </c>
      <c r="X47" s="26" t="s">
        <v>1241</v>
      </c>
      <c r="Y47" s="26" t="s">
        <v>344</v>
      </c>
      <c r="Z47" s="26" t="s">
        <v>345</v>
      </c>
      <c r="AA47" s="2" t="s">
        <v>238</v>
      </c>
      <c r="AB47" s="264"/>
      <c r="AC47" s="2" t="s">
        <v>244</v>
      </c>
      <c r="AD47" s="1" t="s">
        <v>1509</v>
      </c>
    </row>
    <row r="48" spans="1:30" ht="15" customHeight="1" x14ac:dyDescent="0.45">
      <c r="A48" s="289" t="s">
        <v>346</v>
      </c>
      <c r="B48" s="1" t="s">
        <v>231</v>
      </c>
      <c r="C48" s="1" t="s">
        <v>246</v>
      </c>
      <c r="D48" s="6" t="str">
        <f>CONCATENATE(ROW(A4),",",ROW(A26))</f>
        <v>4,26</v>
      </c>
      <c r="E48" s="6"/>
      <c r="F48" s="13" t="s">
        <v>54</v>
      </c>
      <c r="G48" s="167"/>
      <c r="H48" s="154"/>
      <c r="I48" s="245"/>
      <c r="J48" s="176"/>
      <c r="K48" s="41"/>
      <c r="L48" s="14" t="s">
        <v>54</v>
      </c>
      <c r="M48" s="14" t="s">
        <v>54</v>
      </c>
      <c r="N48" s="14" t="s">
        <v>54</v>
      </c>
      <c r="O48" s="14"/>
      <c r="P48" s="14"/>
      <c r="Q48" s="2"/>
      <c r="R48" s="2"/>
      <c r="S48" s="2" t="s">
        <v>261</v>
      </c>
      <c r="T48" s="2" t="str">
        <f>IF(Config!$B$2='Data Validations'!$E$2,Text!B48,IF(Config!$B$2='Data Validations'!$E$3,Text!C48,"Select a lanaguage in config"))</f>
        <v>Greatly improves the user experience with a common sign on experience, provides Conditional Access and MFA even to apps that do not support them. Greatly simplifies the Joiners/Movers/Leavers process as user effectively only have one identity, rather than and identity for each application</v>
      </c>
      <c r="U48" s="2" t="s">
        <v>341</v>
      </c>
      <c r="V48" s="122" t="s">
        <v>279</v>
      </c>
      <c r="W48" s="21" t="s">
        <v>347</v>
      </c>
      <c r="X48" s="37" t="s">
        <v>1242</v>
      </c>
      <c r="Y48" s="26" t="s">
        <v>237</v>
      </c>
      <c r="Z48" s="26" t="s">
        <v>256</v>
      </c>
      <c r="AA48" s="2" t="s">
        <v>238</v>
      </c>
      <c r="AB48" s="264"/>
      <c r="AC48" s="2" t="s">
        <v>244</v>
      </c>
      <c r="AD48" s="2"/>
    </row>
    <row r="49" spans="1:30" ht="15" customHeight="1" x14ac:dyDescent="0.45">
      <c r="A49" s="289" t="s">
        <v>1494</v>
      </c>
      <c r="B49" s="1" t="s">
        <v>1189</v>
      </c>
      <c r="C49" s="1" t="s">
        <v>246</v>
      </c>
      <c r="D49" s="6" t="str">
        <f>CONCATENATE(ROW(A4),",",ROW(A26),",",ROW(A46))</f>
        <v>4,26,46</v>
      </c>
      <c r="E49" s="6"/>
      <c r="F49" s="13" t="s">
        <v>54</v>
      </c>
      <c r="G49" s="153"/>
      <c r="H49" s="155"/>
      <c r="I49" s="245"/>
      <c r="J49" s="176"/>
      <c r="K49" s="41"/>
      <c r="L49" s="14" t="s">
        <v>54</v>
      </c>
      <c r="M49" s="14" t="s">
        <v>54</v>
      </c>
      <c r="N49" s="14" t="s">
        <v>54</v>
      </c>
      <c r="O49" s="14"/>
      <c r="P49" s="14"/>
      <c r="Q49" s="2"/>
      <c r="R49" s="2"/>
      <c r="S49" s="2" t="s">
        <v>289</v>
      </c>
      <c r="T49" s="2" t="str">
        <f>IF(Config!$B$2='Data Validations'!$E$2,Text!B49,IF(Config!$B$2='Data Validations'!$E$3,Text!C49,"Select a lanaguage in config"))</f>
        <v>With Microsoft Entra Private Access (Quick Access), organizations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v>
      </c>
      <c r="U49" s="2" t="s">
        <v>341</v>
      </c>
      <c r="V49" s="122" t="s">
        <v>279</v>
      </c>
      <c r="W49" s="11" t="s">
        <v>348</v>
      </c>
      <c r="X49" s="37" t="s">
        <v>285</v>
      </c>
      <c r="Y49" s="26" t="s">
        <v>349</v>
      </c>
      <c r="Z49" s="26" t="s">
        <v>350</v>
      </c>
      <c r="AA49" s="2" t="s">
        <v>238</v>
      </c>
      <c r="AB49" s="264"/>
      <c r="AC49" s="2"/>
      <c r="AD49" s="2"/>
    </row>
    <row r="50" spans="1:30" ht="15" customHeight="1" x14ac:dyDescent="0.45">
      <c r="A50" s="289" t="s">
        <v>1495</v>
      </c>
      <c r="B50" s="1" t="s">
        <v>1189</v>
      </c>
      <c r="C50" s="1" t="s">
        <v>246</v>
      </c>
      <c r="D50" s="6" t="str">
        <f>CONCATENATE(ROW(A4),",",ROW(A26),",",ROW(A46))</f>
        <v>4,26,46</v>
      </c>
      <c r="E50" s="6"/>
      <c r="F50" s="13" t="s">
        <v>54</v>
      </c>
      <c r="G50" s="153"/>
      <c r="H50" s="154"/>
      <c r="I50" s="245"/>
      <c r="J50" s="176"/>
      <c r="K50" s="41"/>
      <c r="L50" s="14" t="s">
        <v>54</v>
      </c>
      <c r="M50" s="14" t="s">
        <v>54</v>
      </c>
      <c r="N50" s="14" t="s">
        <v>54</v>
      </c>
      <c r="O50" s="14"/>
      <c r="P50" s="14"/>
      <c r="Q50" s="2"/>
      <c r="R50" s="2"/>
      <c r="S50" s="2" t="s">
        <v>289</v>
      </c>
      <c r="T50" s="2" t="str">
        <f>IF(Config!$B$2='Data Validations'!$E$2,Text!B50,IF(Config!$B$2='Data Validations'!$E$3,Text!C50,"Select a lanaguage in config"))</f>
        <v>With Microsoft Entra Private Access (Per-App Access), organizations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v>
      </c>
      <c r="U50" s="2" t="s">
        <v>341</v>
      </c>
      <c r="V50" s="122" t="s">
        <v>279</v>
      </c>
      <c r="W50" s="11" t="s">
        <v>348</v>
      </c>
      <c r="X50" s="37" t="s">
        <v>285</v>
      </c>
      <c r="Y50" s="26" t="s">
        <v>349</v>
      </c>
      <c r="Z50" s="26" t="s">
        <v>350</v>
      </c>
      <c r="AA50" s="2" t="s">
        <v>238</v>
      </c>
      <c r="AB50" s="264"/>
      <c r="AC50" s="2"/>
      <c r="AD50" s="2"/>
    </row>
    <row r="51" spans="1:30" ht="15" customHeight="1" x14ac:dyDescent="0.45">
      <c r="A51" s="289" t="s">
        <v>1186</v>
      </c>
      <c r="B51" s="1" t="s">
        <v>1189</v>
      </c>
      <c r="C51" s="1" t="s">
        <v>351</v>
      </c>
      <c r="D51" s="6" t="str">
        <f>CONCATENATE(ROW(A4),",",ROW(A26),",",ROW(A46))</f>
        <v>4,26,46</v>
      </c>
      <c r="E51" s="6"/>
      <c r="F51" s="13" t="s">
        <v>54</v>
      </c>
      <c r="G51" s="168"/>
      <c r="H51" s="169"/>
      <c r="I51" s="251"/>
      <c r="J51" s="181"/>
      <c r="K51" s="41"/>
      <c r="L51" s="14" t="s">
        <v>54</v>
      </c>
      <c r="M51" s="14" t="s">
        <v>54</v>
      </c>
      <c r="N51" s="14" t="s">
        <v>54</v>
      </c>
      <c r="O51" s="14"/>
      <c r="P51" s="14"/>
      <c r="Q51" s="2"/>
      <c r="R51" s="2"/>
      <c r="S51" s="2" t="s">
        <v>289</v>
      </c>
      <c r="T51" s="2" t="str">
        <f>IF(Config!$B$2='Data Validations'!$E$2,Text!B51,IF(Config!$B$2='Data Validations'!$E$3,Text!C51,"Select a lanaguage in config"))</f>
        <v>The connection to the Global Secure Access service can come from an organizations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v>
      </c>
      <c r="U51" s="2" t="s">
        <v>341</v>
      </c>
      <c r="V51" s="122" t="s">
        <v>279</v>
      </c>
      <c r="W51" s="11" t="s">
        <v>348</v>
      </c>
      <c r="X51" s="37" t="s">
        <v>285</v>
      </c>
      <c r="Y51" s="26" t="s">
        <v>349</v>
      </c>
      <c r="Z51" s="26" t="s">
        <v>350</v>
      </c>
      <c r="AA51" s="2" t="s">
        <v>238</v>
      </c>
      <c r="AB51" s="264"/>
      <c r="AC51" s="2"/>
      <c r="AD51" s="2"/>
    </row>
    <row r="52" spans="1:30" ht="15" customHeight="1" x14ac:dyDescent="0.45">
      <c r="A52" s="289" t="s">
        <v>1187</v>
      </c>
      <c r="B52" s="1" t="s">
        <v>1184</v>
      </c>
      <c r="C52" s="1" t="s">
        <v>246</v>
      </c>
      <c r="D52" s="6" t="str">
        <f>CONCATENATE(ROW(A49))</f>
        <v>49</v>
      </c>
      <c r="E52" s="6"/>
      <c r="F52" s="13" t="s">
        <v>54</v>
      </c>
      <c r="G52" s="153"/>
      <c r="H52" s="155"/>
      <c r="I52" s="245"/>
      <c r="J52" s="176"/>
      <c r="K52" s="41"/>
      <c r="L52" s="14" t="s">
        <v>54</v>
      </c>
      <c r="M52" s="14" t="s">
        <v>54</v>
      </c>
      <c r="N52" s="14" t="s">
        <v>54</v>
      </c>
      <c r="O52" s="14"/>
      <c r="P52" s="14"/>
      <c r="Q52" s="2"/>
      <c r="R52" s="2"/>
      <c r="S52" s="2" t="s">
        <v>324</v>
      </c>
      <c r="T52" s="2" t="str">
        <f>IF(Config!$B$2='Data Validations'!$E$2,Text!B52,IF(Config!$B$2='Data Validations'!$E$3,Text!C52,"Select a lanaguage in config"))</f>
        <v>Tenant restricitions v2 allows organizations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v>
      </c>
      <c r="U52" s="2"/>
      <c r="V52" s="122" t="s">
        <v>279</v>
      </c>
      <c r="W52" s="11" t="s">
        <v>280</v>
      </c>
      <c r="X52" s="37" t="s">
        <v>1237</v>
      </c>
      <c r="Y52" s="26" t="s">
        <v>349</v>
      </c>
      <c r="Z52" s="26"/>
      <c r="AA52" s="2" t="s">
        <v>238</v>
      </c>
      <c r="AB52" s="264"/>
      <c r="AC52" s="2"/>
      <c r="AD52" s="2"/>
    </row>
    <row r="53" spans="1:30" ht="15" customHeight="1" x14ac:dyDescent="0.45">
      <c r="A53" s="289" t="s">
        <v>1190</v>
      </c>
      <c r="B53" s="1" t="s">
        <v>1184</v>
      </c>
      <c r="C53" s="1" t="s">
        <v>239</v>
      </c>
      <c r="D53" s="6" t="str">
        <f>CONCATENATE(ROW(A4),",",ROW(A46))</f>
        <v>4,46</v>
      </c>
      <c r="E53" s="6"/>
      <c r="F53" s="13" t="s">
        <v>54</v>
      </c>
      <c r="G53" s="155"/>
      <c r="H53" s="155"/>
      <c r="I53" s="245"/>
      <c r="J53" s="176"/>
      <c r="K53" s="41"/>
      <c r="L53" s="14" t="s">
        <v>54</v>
      </c>
      <c r="M53" s="41" t="s">
        <v>54</v>
      </c>
      <c r="N53" s="41" t="s">
        <v>54</v>
      </c>
      <c r="O53" s="14"/>
      <c r="P53" s="14"/>
      <c r="Q53" s="2"/>
      <c r="R53" s="2"/>
      <c r="S53" s="2" t="s">
        <v>233</v>
      </c>
      <c r="T53" s="2" t="str">
        <f>IF(Config!$B$2='Data Validations'!$E$2,Text!B53,IF(Config!$B$2='Data Validations'!$E$3,Text!C53,"Select a lanaguage in config"))</f>
        <v>Monitoring the traffic for Global Secure Access is an important activity for ensuring your tenant is configured correctly and that your users are getting the best experience possible. The Global Secure Access traffic logs (preview) provide insight into who is accessing what resources, where they're accessing them from, and what action took place.</v>
      </c>
      <c r="U53" s="2"/>
      <c r="V53" s="120" t="s">
        <v>279</v>
      </c>
      <c r="W53" s="10" t="s">
        <v>280</v>
      </c>
      <c r="X53" s="37" t="s">
        <v>1238</v>
      </c>
      <c r="Y53" s="26" t="s">
        <v>349</v>
      </c>
      <c r="Z53" s="26"/>
      <c r="AA53" s="2" t="s">
        <v>238</v>
      </c>
      <c r="AB53" s="264"/>
      <c r="AC53" s="2"/>
      <c r="AD53" s="2"/>
    </row>
    <row r="54" spans="1:30" ht="15" customHeight="1" x14ac:dyDescent="0.45">
      <c r="A54" s="289" t="s">
        <v>1191</v>
      </c>
      <c r="B54" s="1" t="s">
        <v>1184</v>
      </c>
      <c r="C54" s="1" t="s">
        <v>239</v>
      </c>
      <c r="D54" s="6" t="str">
        <f>CONCATENATE(ROW(A4),",",ROW(A46))</f>
        <v>4,46</v>
      </c>
      <c r="E54" s="6"/>
      <c r="F54" s="13" t="s">
        <v>54</v>
      </c>
      <c r="G54" s="153"/>
      <c r="H54" s="155"/>
      <c r="I54" s="245"/>
      <c r="J54" s="176"/>
      <c r="K54" s="41"/>
      <c r="L54" s="41" t="s">
        <v>54</v>
      </c>
      <c r="M54" s="41" t="s">
        <v>54</v>
      </c>
      <c r="N54" s="41" t="s">
        <v>54</v>
      </c>
      <c r="O54" s="14"/>
      <c r="P54" s="14"/>
      <c r="Q54" s="2"/>
      <c r="R54" s="2"/>
      <c r="S54" s="2" t="s">
        <v>289</v>
      </c>
      <c r="T54" s="2" t="str">
        <f>IF(Config!$B$2='Data Validations'!$E$2,Text!B54,IF(Config!$B$2='Data Validations'!$E$3,Text!C54,"Select a lanaguage in config"))</f>
        <v>Microsoft Entra Internet Access's first Secure Web Gateway (SWG) features include web content filtering based on domain names. Microsoft integrates granular filtering policies with Microsoft Entra ID and Microsoft Entra Conditional Access, which results in filtering policies that are user-aware, context-aware, and easy to manage.</v>
      </c>
      <c r="U54" s="2"/>
      <c r="V54" s="120" t="s">
        <v>279</v>
      </c>
      <c r="W54" s="11" t="s">
        <v>348</v>
      </c>
      <c r="X54" s="37" t="s">
        <v>1239</v>
      </c>
      <c r="Y54" s="26" t="s">
        <v>349</v>
      </c>
      <c r="Z54" s="26"/>
      <c r="AA54" s="2" t="s">
        <v>238</v>
      </c>
      <c r="AB54" s="264"/>
      <c r="AC54" s="2"/>
      <c r="AD54" s="2"/>
    </row>
    <row r="55" spans="1:30" ht="15" customHeight="1" x14ac:dyDescent="0.45">
      <c r="A55" s="289" t="s">
        <v>1192</v>
      </c>
      <c r="B55" s="1" t="s">
        <v>1184</v>
      </c>
      <c r="C55" s="1" t="s">
        <v>239</v>
      </c>
      <c r="D55" s="6" t="str">
        <f>CONCATENATE(ROW(A4),",",ROW(A46))</f>
        <v>4,46</v>
      </c>
      <c r="E55" s="6"/>
      <c r="F55" s="13" t="s">
        <v>54</v>
      </c>
      <c r="G55" s="153"/>
      <c r="H55" s="155"/>
      <c r="I55" s="245"/>
      <c r="J55" s="176"/>
      <c r="K55" s="41"/>
      <c r="L55" s="41" t="s">
        <v>54</v>
      </c>
      <c r="M55" s="41" t="s">
        <v>54</v>
      </c>
      <c r="N55" s="41" t="s">
        <v>54</v>
      </c>
      <c r="O55" s="14"/>
      <c r="P55" s="14"/>
      <c r="Q55" s="2"/>
      <c r="R55" s="2"/>
      <c r="S55" s="2" t="s">
        <v>289</v>
      </c>
      <c r="T55" s="2" t="str">
        <f>IF(Config!$B$2='Data Validations'!$E$2,Text!B55,IF(Config!$B$2='Data Validations'!$E$3,Text!C55,"Select a lanaguage in config"))</f>
        <v>nter a name, select a web category or a valid FQDN, and then select Add. Valid FQDNs in this feature can also include wildcards using the asterisk symbol, *.</v>
      </c>
      <c r="U55" s="2"/>
      <c r="V55" s="120" t="s">
        <v>279</v>
      </c>
      <c r="W55" s="11" t="s">
        <v>348</v>
      </c>
      <c r="X55" s="37" t="s">
        <v>1240</v>
      </c>
      <c r="Y55" s="26" t="s">
        <v>349</v>
      </c>
      <c r="Z55" s="26"/>
      <c r="AA55" s="2" t="s">
        <v>238</v>
      </c>
      <c r="AB55" s="264"/>
      <c r="AC55" s="2"/>
      <c r="AD55" s="2"/>
    </row>
    <row r="56" spans="1:30" ht="15" customHeight="1" x14ac:dyDescent="0.45">
      <c r="A56" s="305" t="s">
        <v>352</v>
      </c>
      <c r="B56" s="2" t="s">
        <v>259</v>
      </c>
      <c r="C56" s="2" t="s">
        <v>259</v>
      </c>
      <c r="D56" s="2" t="s">
        <v>259</v>
      </c>
      <c r="E56" s="2" t="s">
        <v>259</v>
      </c>
      <c r="F56" s="2" t="s">
        <v>259</v>
      </c>
      <c r="G56" s="151" t="s">
        <v>259</v>
      </c>
      <c r="H56" s="152" t="s">
        <v>259</v>
      </c>
      <c r="I56" s="244" t="s">
        <v>259</v>
      </c>
      <c r="J56" s="175" t="s">
        <v>259</v>
      </c>
      <c r="K56" s="259" t="s">
        <v>259</v>
      </c>
      <c r="L56" s="152" t="s">
        <v>259</v>
      </c>
      <c r="M56" s="152" t="s">
        <v>259</v>
      </c>
      <c r="N56" s="152" t="s">
        <v>259</v>
      </c>
      <c r="O56" s="2" t="s">
        <v>259</v>
      </c>
      <c r="P56" s="2" t="s">
        <v>259</v>
      </c>
      <c r="Q56" s="2" t="s">
        <v>259</v>
      </c>
      <c r="R56" s="2" t="s">
        <v>259</v>
      </c>
      <c r="S56" s="2" t="s">
        <v>259</v>
      </c>
      <c r="T56" s="2" t="str">
        <f>IF(Config!$B$2='Data Validations'!$E$2,Text!B56,IF(Config!$B$2='Data Validations'!$E$3,Text!C56,"Select a lanaguage in config"))</f>
        <v>_</v>
      </c>
      <c r="U56" s="2" t="s">
        <v>259</v>
      </c>
      <c r="V56" s="2" t="s">
        <v>259</v>
      </c>
      <c r="W56" s="2" t="s">
        <v>259</v>
      </c>
      <c r="X56" s="2" t="s">
        <v>259</v>
      </c>
      <c r="Y56" s="2" t="s">
        <v>259</v>
      </c>
      <c r="Z56" s="2" t="s">
        <v>259</v>
      </c>
      <c r="AA56" s="2" t="s">
        <v>259</v>
      </c>
      <c r="AB56" s="264"/>
      <c r="AC56" s="2"/>
      <c r="AD56" s="2"/>
    </row>
    <row r="57" spans="1:30" ht="15" customHeight="1" x14ac:dyDescent="0.45">
      <c r="A57" s="289" t="s">
        <v>353</v>
      </c>
      <c r="B57" s="1" t="s">
        <v>231</v>
      </c>
      <c r="C57" s="1" t="s">
        <v>296</v>
      </c>
      <c r="D57" s="6" t="str">
        <f>CONCATENATE(ROW(A4))</f>
        <v>4</v>
      </c>
      <c r="E57" s="6"/>
      <c r="F57" s="13" t="s">
        <v>54</v>
      </c>
      <c r="G57" s="165"/>
      <c r="H57" s="166"/>
      <c r="I57" s="250"/>
      <c r="J57" s="180"/>
      <c r="K57" s="14"/>
      <c r="L57" s="14" t="s">
        <v>54</v>
      </c>
      <c r="M57" s="14" t="s">
        <v>54</v>
      </c>
      <c r="N57" s="14" t="s">
        <v>54</v>
      </c>
      <c r="O57" s="14"/>
      <c r="P57" s="14"/>
      <c r="Q57" s="2"/>
      <c r="R57" s="2"/>
      <c r="S57" s="2" t="s">
        <v>233</v>
      </c>
      <c r="T57" s="2" t="str">
        <f>IF(Config!$B$2='Data Validations'!$E$2,Text!B57,IF(Config!$B$2='Data Validations'!$E$3,Text!C57,"Select a lanaguage in config"))</f>
        <v>Can help automate who should be in your Directory which can lead to automations within the Joiners/Movers/Leavers process. It also helps ensure only the right identities are in the directory and not large numbers of stale accounts. This can make lateral movement more difficult, reducing your surface area of attack. This also helps control application/services license costs and distribution of these licenses. This creates cost savings in admin work and license management</v>
      </c>
      <c r="U57" s="2" t="s">
        <v>240</v>
      </c>
      <c r="V57" s="122" t="s">
        <v>279</v>
      </c>
      <c r="W57" s="21" t="s">
        <v>354</v>
      </c>
      <c r="X57" s="37" t="s">
        <v>1221</v>
      </c>
      <c r="Y57" s="26" t="s">
        <v>237</v>
      </c>
      <c r="Z57" s="26" t="s">
        <v>42</v>
      </c>
      <c r="AA57" s="2" t="s">
        <v>238</v>
      </c>
      <c r="AB57" s="264" t="s">
        <v>250</v>
      </c>
      <c r="AC57" s="2" t="s">
        <v>244</v>
      </c>
      <c r="AD57" s="1" t="s">
        <v>323</v>
      </c>
    </row>
    <row r="58" spans="1:30" ht="15" customHeight="1" x14ac:dyDescent="0.45">
      <c r="A58" s="297" t="s">
        <v>1429</v>
      </c>
      <c r="B58" s="1" t="s">
        <v>231</v>
      </c>
      <c r="C58" s="1" t="s">
        <v>232</v>
      </c>
      <c r="D58" s="6" t="str">
        <f>CONCATENATE(ROW(A4))</f>
        <v>4</v>
      </c>
      <c r="E58" s="6"/>
      <c r="F58" s="13" t="s">
        <v>54</v>
      </c>
      <c r="G58" s="153"/>
      <c r="H58" s="154"/>
      <c r="I58" s="245"/>
      <c r="J58" s="177"/>
      <c r="K58" s="41"/>
      <c r="L58" s="14" t="s">
        <v>54</v>
      </c>
      <c r="M58" s="14" t="s">
        <v>54</v>
      </c>
      <c r="N58" s="14" t="s">
        <v>54</v>
      </c>
      <c r="O58" s="14"/>
      <c r="P58" s="14"/>
      <c r="Q58" s="2"/>
      <c r="R58" s="2"/>
      <c r="S58" s="2" t="s">
        <v>233</v>
      </c>
      <c r="T58" s="2" t="str">
        <f>IF(Config!$B$2='Data Validations'!$E$2,Text!B58,IF(Config!$B$2='Data Validations'!$E$3,Text!C58,"Select a lanaguage in config"))</f>
        <v>The inbound provisioning API helps organizations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v>
      </c>
      <c r="U58" s="2" t="s">
        <v>240</v>
      </c>
      <c r="V58" s="122" t="s">
        <v>279</v>
      </c>
      <c r="W58" s="21" t="s">
        <v>355</v>
      </c>
      <c r="X58" s="37" t="s">
        <v>356</v>
      </c>
      <c r="Y58" s="26" t="s">
        <v>237</v>
      </c>
      <c r="Z58" s="26" t="s">
        <v>42</v>
      </c>
      <c r="AA58" s="2"/>
      <c r="AB58" s="264"/>
      <c r="AC58" s="2"/>
      <c r="AD58" s="1"/>
    </row>
    <row r="59" spans="1:30" ht="15" customHeight="1" x14ac:dyDescent="0.45">
      <c r="A59" s="297" t="s">
        <v>357</v>
      </c>
      <c r="B59" s="1" t="s">
        <v>231</v>
      </c>
      <c r="C59" s="1" t="s">
        <v>351</v>
      </c>
      <c r="D59" s="6"/>
      <c r="E59" s="6"/>
      <c r="F59" s="13" t="s">
        <v>54</v>
      </c>
      <c r="G59" s="165"/>
      <c r="H59" s="166"/>
      <c r="I59" s="250"/>
      <c r="J59" s="180"/>
      <c r="K59" s="41"/>
      <c r="L59" s="14" t="s">
        <v>54</v>
      </c>
      <c r="M59" s="14" t="s">
        <v>54</v>
      </c>
      <c r="N59" s="14" t="s">
        <v>54</v>
      </c>
      <c r="O59" s="14"/>
      <c r="P59" s="14"/>
      <c r="Q59" s="2"/>
      <c r="R59" s="2"/>
      <c r="S59" s="2" t="s">
        <v>233</v>
      </c>
      <c r="T59" s="2" t="str">
        <f>IF(Config!$B$2='Data Validations'!$E$2,Text!B59,IF(Config!$B$2='Data Validations'!$E$3,Text!C59,"Select a lanaguage in config"))</f>
        <v>Microsoft Identity Manager (MIM) can link together Identity Providers, such as Active Directory and Microsoft Entra ID with other identity driven services such as HR systems and applications. MIM can draw identities, attributes and information from multiple sources (into the MIM metaverse) and then apply rules and transformations and export to back to any connected system. For example, MIM can take information from a HR system and use this create users in Active Directory, assigning or updating the right attributes and group memberships through automated workflows. This can help modernise and automate the Joiners/Movers/Leavers process</v>
      </c>
      <c r="U59" s="2" t="s">
        <v>240</v>
      </c>
      <c r="V59" s="122"/>
      <c r="W59" s="21"/>
      <c r="X59" s="37"/>
      <c r="Y59" s="26"/>
      <c r="Z59" s="26"/>
      <c r="AA59" s="2"/>
      <c r="AB59" s="264"/>
      <c r="AC59" s="2"/>
      <c r="AD59" s="1"/>
    </row>
    <row r="60" spans="1:30" ht="15" customHeight="1" x14ac:dyDescent="0.45">
      <c r="A60" s="289" t="s">
        <v>358</v>
      </c>
      <c r="B60" s="1" t="s">
        <v>231</v>
      </c>
      <c r="C60" s="1" t="s">
        <v>359</v>
      </c>
      <c r="D60" s="6"/>
      <c r="E60" s="6" t="s">
        <v>247</v>
      </c>
      <c r="F60" s="13" t="s">
        <v>54</v>
      </c>
      <c r="G60" s="165"/>
      <c r="H60" s="166"/>
      <c r="I60" s="250"/>
      <c r="J60" s="180"/>
      <c r="K60" s="41"/>
      <c r="L60" s="14" t="s">
        <v>54</v>
      </c>
      <c r="M60" s="14" t="s">
        <v>54</v>
      </c>
      <c r="N60" s="14" t="s">
        <v>54</v>
      </c>
      <c r="O60" s="14"/>
      <c r="P60" s="14"/>
      <c r="Q60" s="2"/>
      <c r="R60" s="2"/>
      <c r="S60" s="2" t="s">
        <v>305</v>
      </c>
      <c r="T60" s="2" t="str">
        <f>IF(Config!$B$2='Data Validations'!$E$2,Text!B60,IF(Config!$B$2='Data Validations'!$E$3,Text!C60,"Select a lanaguage in config"))</f>
        <v>Reduces surface area of attack by removing stale accounts that can be used for lateral movement. Stale accounts tend to be unmonitored and there is no one to "complain" their account is behaving abnormally.</v>
      </c>
      <c r="U60" s="2" t="s">
        <v>42</v>
      </c>
      <c r="V60" s="122" t="s">
        <v>279</v>
      </c>
      <c r="W60" s="2" t="s">
        <v>235</v>
      </c>
      <c r="X60" s="25" t="s">
        <v>1222</v>
      </c>
      <c r="Y60" s="26" t="s">
        <v>237</v>
      </c>
      <c r="Z60" s="26" t="s">
        <v>42</v>
      </c>
      <c r="AA60" s="2" t="s">
        <v>238</v>
      </c>
      <c r="AB60" s="264" t="s">
        <v>250</v>
      </c>
      <c r="AC60" s="2" t="s">
        <v>244</v>
      </c>
      <c r="AD60" s="1"/>
    </row>
    <row r="61" spans="1:30" ht="15" customHeight="1" x14ac:dyDescent="0.45">
      <c r="A61" s="289" t="s">
        <v>130</v>
      </c>
      <c r="B61" s="1" t="s">
        <v>231</v>
      </c>
      <c r="C61" s="1" t="s">
        <v>246</v>
      </c>
      <c r="D61" s="6" t="str">
        <f>CONCATENATE(ROW(A4))</f>
        <v>4</v>
      </c>
      <c r="E61" s="6"/>
      <c r="F61" s="13" t="s">
        <v>54</v>
      </c>
      <c r="G61" s="156"/>
      <c r="H61" s="155"/>
      <c r="I61" s="247"/>
      <c r="J61" s="177"/>
      <c r="K61" s="41"/>
      <c r="L61" s="14" t="s">
        <v>54</v>
      </c>
      <c r="M61" s="14" t="s">
        <v>54</v>
      </c>
      <c r="N61" s="14" t="s">
        <v>54</v>
      </c>
      <c r="O61" s="14"/>
      <c r="P61" s="14"/>
      <c r="Q61" s="2"/>
      <c r="R61" s="2"/>
      <c r="S61" s="2" t="s">
        <v>261</v>
      </c>
      <c r="T61" s="2" t="str">
        <f>IF(Config!$B$2='Data Validations'!$E$2,Text!B61,IF(Config!$B$2='Data Validations'!$E$3,Text!C61,"Select a lanaguage in config"))</f>
        <v>Puts limited controls out to the organization,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v>
      </c>
      <c r="U61" s="2" t="s">
        <v>360</v>
      </c>
      <c r="V61" s="122" t="s">
        <v>279</v>
      </c>
      <c r="W61" s="10" t="s">
        <v>335</v>
      </c>
      <c r="X61" s="26" t="s">
        <v>1074</v>
      </c>
      <c r="Y61" s="26" t="s">
        <v>237</v>
      </c>
      <c r="Z61" s="26" t="s">
        <v>42</v>
      </c>
      <c r="AA61" s="2" t="s">
        <v>238</v>
      </c>
      <c r="AB61" s="264" t="s">
        <v>276</v>
      </c>
      <c r="AC61" s="2" t="s">
        <v>244</v>
      </c>
      <c r="AD61" s="1" t="s">
        <v>1510</v>
      </c>
    </row>
    <row r="62" spans="1:30" ht="15" customHeight="1" x14ac:dyDescent="0.45">
      <c r="A62" s="289" t="s">
        <v>143</v>
      </c>
      <c r="B62" s="1" t="s">
        <v>231</v>
      </c>
      <c r="C62" s="1" t="s">
        <v>246</v>
      </c>
      <c r="D62" s="6" t="str">
        <f>CONCATENATE(ROW(A4))</f>
        <v>4</v>
      </c>
      <c r="E62" s="6"/>
      <c r="F62" s="13" t="s">
        <v>54</v>
      </c>
      <c r="G62" s="156"/>
      <c r="H62" s="157"/>
      <c r="I62" s="246"/>
      <c r="J62" s="177"/>
      <c r="K62" s="41"/>
      <c r="L62" s="14" t="s">
        <v>54</v>
      </c>
      <c r="M62" s="14" t="s">
        <v>54</v>
      </c>
      <c r="N62" s="14" t="s">
        <v>54</v>
      </c>
      <c r="O62" s="14"/>
      <c r="P62" s="14"/>
      <c r="Q62" s="2"/>
      <c r="R62" s="2"/>
      <c r="S62" s="2" t="s">
        <v>261</v>
      </c>
      <c r="T62" s="2" t="str">
        <f>IF(Config!$B$2='Data Validations'!$E$2,Text!B62,IF(Config!$B$2='Data Validations'!$E$3,Text!C62,"Select a lanaguage in config"))</f>
        <v>Groups are defined by users attributes in Active Directory rather than static group membership. This can help automate access to resources (including removing access to older resources and gaining access to new resources) without to manually update multiple groups during a change. This can help simplify the Joiners/Movers/Leavers process</v>
      </c>
      <c r="U62" s="2" t="s">
        <v>315</v>
      </c>
      <c r="V62" s="122" t="s">
        <v>279</v>
      </c>
      <c r="W62" s="10" t="s">
        <v>361</v>
      </c>
      <c r="X62" s="26" t="s">
        <v>1074</v>
      </c>
      <c r="Y62" s="26" t="s">
        <v>237</v>
      </c>
      <c r="Z62" s="26" t="s">
        <v>42</v>
      </c>
      <c r="AA62" s="2" t="s">
        <v>238</v>
      </c>
      <c r="AB62" s="264" t="s">
        <v>276</v>
      </c>
      <c r="AC62" s="2" t="s">
        <v>244</v>
      </c>
      <c r="AD62" s="1" t="s">
        <v>1510</v>
      </c>
    </row>
    <row r="63" spans="1:30" ht="15" customHeight="1" x14ac:dyDescent="0.45">
      <c r="A63" s="289" t="s">
        <v>362</v>
      </c>
      <c r="B63" s="1" t="s">
        <v>1496</v>
      </c>
      <c r="C63" s="1" t="s">
        <v>246</v>
      </c>
      <c r="D63" s="6" t="str">
        <f>CONCATENATE(ROW(A4),",",ROW(A9),",",ROW(A46),",",ROW(A48),",",ROW(A50))</f>
        <v>4,9,46,48,50</v>
      </c>
      <c r="E63" s="6" t="s">
        <v>307</v>
      </c>
      <c r="F63" s="13" t="s">
        <v>54</v>
      </c>
      <c r="G63" s="153"/>
      <c r="H63" s="270"/>
      <c r="I63" s="245"/>
      <c r="J63" s="176"/>
      <c r="K63" s="41"/>
      <c r="L63" s="14" t="s">
        <v>54</v>
      </c>
      <c r="M63" s="14" t="s">
        <v>54</v>
      </c>
      <c r="N63" s="14" t="s">
        <v>54</v>
      </c>
      <c r="O63" s="14"/>
      <c r="P63" s="14"/>
      <c r="Q63" s="2"/>
      <c r="R63" s="2"/>
      <c r="S63" s="2" t="s">
        <v>289</v>
      </c>
      <c r="T63" s="2" t="str">
        <f>IF(Config!$B$2='Data Validations'!$E$2,Text!B63,IF(Config!$B$2='Data Validations'!$E$3,Text!C63,"Select a lanaguage in config"))</f>
        <v>Access Reviews can help control permission (not privilege) creep by providing process to not only grant access but also remove it as users move through your organization. These processes can then be managed by the business rather than IT. Effectively, IT can have full control but not the day to day running of granting access to resources. This removes bottle necks to access whilst also improving auditing and accountability</v>
      </c>
      <c r="U63" s="2" t="s">
        <v>363</v>
      </c>
      <c r="V63" s="122" t="s">
        <v>279</v>
      </c>
      <c r="W63" s="10" t="s">
        <v>364</v>
      </c>
      <c r="X63" s="26" t="s">
        <v>575</v>
      </c>
      <c r="Y63" s="26" t="s">
        <v>365</v>
      </c>
      <c r="Z63" s="26" t="s">
        <v>366</v>
      </c>
      <c r="AA63" s="2" t="s">
        <v>238</v>
      </c>
      <c r="AB63" s="61" t="s">
        <v>276</v>
      </c>
      <c r="AC63" s="2" t="s">
        <v>244</v>
      </c>
      <c r="AD63" s="1" t="s">
        <v>336</v>
      </c>
    </row>
    <row r="64" spans="1:30" ht="15" customHeight="1" x14ac:dyDescent="0.45">
      <c r="A64" s="289" t="s">
        <v>367</v>
      </c>
      <c r="B64" s="1" t="s">
        <v>1496</v>
      </c>
      <c r="C64" s="1" t="s">
        <v>246</v>
      </c>
      <c r="D64" s="6" t="str">
        <f>CONCATENATE(ROW(A4),",",ROW(A9),",",ROW(A46),",",ROW(A48),",",ROW(A50))</f>
        <v>4,9,46,48,50</v>
      </c>
      <c r="E64" s="6" t="s">
        <v>307</v>
      </c>
      <c r="F64" s="13" t="s">
        <v>54</v>
      </c>
      <c r="G64" s="156"/>
      <c r="H64" s="157"/>
      <c r="I64" s="245"/>
      <c r="J64" s="176"/>
      <c r="K64" s="41"/>
      <c r="L64" s="14" t="s">
        <v>54</v>
      </c>
      <c r="M64" s="14" t="s">
        <v>54</v>
      </c>
      <c r="N64" s="14" t="s">
        <v>54</v>
      </c>
      <c r="O64" s="14"/>
      <c r="P64" s="14"/>
      <c r="Q64" s="2"/>
      <c r="R64" s="2"/>
      <c r="S64" s="2" t="s">
        <v>289</v>
      </c>
      <c r="T64" s="2" t="str">
        <f>IF(Config!$B$2='Data Validations'!$E$2,Text!B64,IF(Config!$B$2='Data Validations'!$E$3,Text!C64,"Select a lanaguage in config"))</f>
        <v>Groups access to Microsoft Entra ID based services (groups, Teams, enterprise applications, SharePoint sites, Admin roles, Power Platform resources and M365 licensing) into Entitlement Packages. Significantly reduces bureaucracy, greatly simplifies the Joiners/Movers/Leavers process, can greatly reduce permission creep and reduce load on the helpdesk. Can be backed with Access Reviews to further improve auditing and accountability. Effectively IT can have full control over access but none of the day to day running.</v>
      </c>
      <c r="U64" s="2" t="s">
        <v>368</v>
      </c>
      <c r="V64" s="122" t="s">
        <v>279</v>
      </c>
      <c r="W64" s="10" t="s">
        <v>364</v>
      </c>
      <c r="X64" s="26" t="s">
        <v>575</v>
      </c>
      <c r="Y64" s="26" t="s">
        <v>365</v>
      </c>
      <c r="Z64" s="26" t="s">
        <v>366</v>
      </c>
      <c r="AA64" s="2" t="s">
        <v>238</v>
      </c>
      <c r="AB64" s="61" t="s">
        <v>276</v>
      </c>
      <c r="AC64" s="2" t="s">
        <v>244</v>
      </c>
      <c r="AD64" s="2"/>
    </row>
    <row r="65" spans="1:30" ht="15" customHeight="1" x14ac:dyDescent="0.45">
      <c r="A65" s="289" t="s">
        <v>369</v>
      </c>
      <c r="B65" s="147" t="s">
        <v>370</v>
      </c>
      <c r="C65" s="1" t="s">
        <v>246</v>
      </c>
      <c r="D65" s="148" t="str">
        <f>CONCATENATE(ROW(A4),",",ROW(A9),",",ROW(A46),",",ROW(A48),",",ROW(A50))</f>
        <v>4,9,46,48,50</v>
      </c>
      <c r="E65" s="148"/>
      <c r="F65" s="13" t="s">
        <v>54</v>
      </c>
      <c r="G65" s="156"/>
      <c r="H65" s="157"/>
      <c r="I65" s="245"/>
      <c r="J65" s="176"/>
      <c r="K65" s="41"/>
      <c r="L65" s="14" t="s">
        <v>54</v>
      </c>
      <c r="M65" s="14" t="s">
        <v>54</v>
      </c>
      <c r="N65" s="14" t="s">
        <v>54</v>
      </c>
      <c r="O65" s="14"/>
      <c r="P65" s="146"/>
      <c r="Q65" s="13"/>
      <c r="R65" s="13"/>
      <c r="S65" s="2" t="s">
        <v>289</v>
      </c>
      <c r="T65" s="2" t="str">
        <f>IF(Config!$B$2='Data Validations'!$E$2,Text!B65,IF(Config!$B$2='Data Validations'!$E$3,Text!C65,"Select a lanaguage in config"))</f>
        <v>Lifecycle Workflows can add automation into the Joiners/Movers/Leavers process by adding actions that triggered by attribute changes to user objects (including creation of object). Actions can include (but not limited to) adding users  to entitlement packages (trigger approval workflow), emailing managers, adding users to group or custom actions which triggers Azure Logic App(s). This allows effective automation for all users, including those who may require access to serveral business areas, all with with autonomy and accountability.</v>
      </c>
      <c r="U65" s="2" t="s">
        <v>368</v>
      </c>
      <c r="V65" s="122" t="s">
        <v>279</v>
      </c>
      <c r="W65" s="184" t="s">
        <v>364</v>
      </c>
      <c r="X65" s="26" t="s">
        <v>575</v>
      </c>
      <c r="Y65" s="26" t="s">
        <v>365</v>
      </c>
      <c r="Z65" s="26" t="s">
        <v>366</v>
      </c>
      <c r="AA65" s="2" t="s">
        <v>238</v>
      </c>
      <c r="AB65" s="61"/>
      <c r="AC65" s="2"/>
      <c r="AD65" s="2"/>
    </row>
    <row r="66" spans="1:30" ht="15" customHeight="1" x14ac:dyDescent="0.45">
      <c r="A66" s="289" t="s">
        <v>371</v>
      </c>
      <c r="B66" s="147" t="s">
        <v>370</v>
      </c>
      <c r="C66" s="1" t="s">
        <v>246</v>
      </c>
      <c r="D66" s="148" t="str">
        <f>CONCATENATE(ROW(A63))</f>
        <v>63</v>
      </c>
      <c r="E66" s="148"/>
      <c r="F66" s="13" t="s">
        <v>54</v>
      </c>
      <c r="G66" s="158"/>
      <c r="H66" s="155"/>
      <c r="I66" s="245"/>
      <c r="J66" s="176"/>
      <c r="K66" s="41"/>
      <c r="L66" s="14" t="s">
        <v>54</v>
      </c>
      <c r="M66" s="14" t="s">
        <v>54</v>
      </c>
      <c r="N66" s="14" t="s">
        <v>54</v>
      </c>
      <c r="O66" s="14"/>
      <c r="P66" s="146"/>
      <c r="Q66" s="13"/>
      <c r="R66" s="13"/>
      <c r="S66" s="2" t="s">
        <v>289</v>
      </c>
      <c r="T66" s="2" t="str">
        <f>IF(Config!$B$2='Data Validations'!$E$2,Text!B66,IF(Config!$B$2='Data Validations'!$E$3,Text!C66,"Select a lanaguage in config"))</f>
        <v>This Machine Learning based recommendation opens the journey to automate access reviews, thereby enabling intelligent automation and reducing access rights attestation fatigue. This recommendation detects user affiliation with other users within the group, based on organization's reporting-structure similarity. The recommendation relies on a scoring mechanism, which is calculated by computing the user’s average distance with the remaining users in the group. Users who are distant from all the other group members based on their organization's chart, are considered to have "low affiliation" within the group.</v>
      </c>
      <c r="U66" s="2" t="s">
        <v>368</v>
      </c>
      <c r="V66" s="122" t="s">
        <v>279</v>
      </c>
      <c r="W66" s="184" t="s">
        <v>364</v>
      </c>
      <c r="X66" s="26" t="s">
        <v>575</v>
      </c>
      <c r="Y66" s="26" t="s">
        <v>365</v>
      </c>
      <c r="Z66" s="26" t="s">
        <v>366</v>
      </c>
      <c r="AA66" s="2" t="s">
        <v>238</v>
      </c>
      <c r="AB66" s="61"/>
      <c r="AC66" s="2"/>
      <c r="AD66" s="2"/>
    </row>
    <row r="67" spans="1:30" ht="15" customHeight="1" x14ac:dyDescent="0.45">
      <c r="A67" s="305" t="s">
        <v>372</v>
      </c>
      <c r="B67" s="147" t="s">
        <v>259</v>
      </c>
      <c r="C67" s="147" t="s">
        <v>259</v>
      </c>
      <c r="D67" s="147" t="s">
        <v>259</v>
      </c>
      <c r="E67" s="147" t="s">
        <v>259</v>
      </c>
      <c r="F67" s="147" t="s">
        <v>259</v>
      </c>
      <c r="G67" s="151" t="s">
        <v>259</v>
      </c>
      <c r="H67" s="152" t="s">
        <v>259</v>
      </c>
      <c r="I67" s="244" t="s">
        <v>259</v>
      </c>
      <c r="J67" s="175" t="s">
        <v>259</v>
      </c>
      <c r="K67" s="259" t="s">
        <v>259</v>
      </c>
      <c r="L67" s="152" t="s">
        <v>259</v>
      </c>
      <c r="M67" s="152" t="s">
        <v>259</v>
      </c>
      <c r="N67" s="152" t="s">
        <v>259</v>
      </c>
      <c r="O67" s="147" t="s">
        <v>259</v>
      </c>
      <c r="P67" s="147" t="s">
        <v>259</v>
      </c>
      <c r="Q67" s="147" t="s">
        <v>259</v>
      </c>
      <c r="R67" s="147" t="s">
        <v>259</v>
      </c>
      <c r="S67" s="147" t="s">
        <v>259</v>
      </c>
      <c r="T67" s="2" t="str">
        <f>IF(Config!$B$2='Data Validations'!$E$2,Text!B67,IF(Config!$B$2='Data Validations'!$E$3,Text!C67,"Select a lanaguage in config"))</f>
        <v>_</v>
      </c>
      <c r="U67" s="147" t="s">
        <v>259</v>
      </c>
      <c r="V67" s="147" t="s">
        <v>259</v>
      </c>
      <c r="W67" s="147" t="s">
        <v>259</v>
      </c>
      <c r="X67" s="147" t="s">
        <v>259</v>
      </c>
      <c r="Y67" s="147" t="s">
        <v>259</v>
      </c>
      <c r="Z67" s="147" t="s">
        <v>259</v>
      </c>
      <c r="AA67" s="147" t="s">
        <v>259</v>
      </c>
      <c r="AB67" s="61"/>
      <c r="AC67" s="2"/>
      <c r="AD67" s="2"/>
    </row>
    <row r="68" spans="1:30" ht="15" customHeight="1" x14ac:dyDescent="0.45">
      <c r="A68" s="289" t="s">
        <v>373</v>
      </c>
      <c r="B68" s="147" t="s">
        <v>231</v>
      </c>
      <c r="C68" s="147" t="s">
        <v>246</v>
      </c>
      <c r="D68" s="148" t="str">
        <f>CONCATENATE(ROW(A4))</f>
        <v>4</v>
      </c>
      <c r="E68" s="6"/>
      <c r="F68" s="13" t="s">
        <v>54</v>
      </c>
      <c r="G68" s="153"/>
      <c r="H68" s="155"/>
      <c r="I68" s="245"/>
      <c r="J68" s="176"/>
      <c r="K68" s="41"/>
      <c r="L68" s="14" t="s">
        <v>54</v>
      </c>
      <c r="M68" s="14" t="s">
        <v>54</v>
      </c>
      <c r="N68" s="14" t="s">
        <v>54</v>
      </c>
      <c r="O68" s="14"/>
      <c r="P68" s="14"/>
      <c r="Q68" s="2"/>
      <c r="R68" s="2"/>
      <c r="S68" s="2" t="s">
        <v>261</v>
      </c>
      <c r="T68" s="2" t="str">
        <f>IF(Config!$B$2='Data Validations'!$E$2,Text!B68,IF(Config!$B$2='Data Validations'!$E$3,Text!C68,"Select a lanaguage in config"))</f>
        <v>B2B Guests are identities that exist in another organizations Microsoft Entra ID tenant and can be invited into your tenant. The Guest account authenticates in their own Microsoft Entra ID and can then be challenged by your organizations conditional access policies, such as the requirement for MFA. For B2B guests to benefit from your organizations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v>
      </c>
      <c r="U68" s="2" t="s">
        <v>42</v>
      </c>
      <c r="V68" s="122" t="s">
        <v>279</v>
      </c>
      <c r="W68" s="10" t="s">
        <v>374</v>
      </c>
      <c r="X68" s="26" t="s">
        <v>575</v>
      </c>
      <c r="Y68" s="26" t="s">
        <v>237</v>
      </c>
      <c r="Z68" s="26" t="s">
        <v>42</v>
      </c>
      <c r="AA68" s="2" t="s">
        <v>238</v>
      </c>
      <c r="AB68" s="61"/>
      <c r="AC68" s="2"/>
      <c r="AD68" s="2"/>
    </row>
    <row r="69" spans="1:30" ht="15" customHeight="1" x14ac:dyDescent="0.45">
      <c r="A69" s="289" t="s">
        <v>375</v>
      </c>
      <c r="B69" s="147" t="s">
        <v>376</v>
      </c>
      <c r="C69" s="147" t="s">
        <v>239</v>
      </c>
      <c r="D69" s="148" t="str">
        <f>CONCATENATE(ROW(A16),",",ROW(A26))</f>
        <v>16,26</v>
      </c>
      <c r="E69" s="6"/>
      <c r="F69" s="13" t="s">
        <v>54</v>
      </c>
      <c r="G69" s="158"/>
      <c r="H69" s="155"/>
      <c r="I69" s="245"/>
      <c r="J69" s="177"/>
      <c r="K69" s="41"/>
      <c r="L69" s="14" t="s">
        <v>54</v>
      </c>
      <c r="M69" s="14" t="s">
        <v>54</v>
      </c>
      <c r="N69" s="14" t="s">
        <v>54</v>
      </c>
      <c r="O69" s="14"/>
      <c r="P69" s="14"/>
      <c r="Q69" s="2"/>
      <c r="R69" s="2"/>
      <c r="S69" s="2" t="s">
        <v>261</v>
      </c>
      <c r="T69" s="2" t="str">
        <f>IF(Config!$B$2='Data Validations'!$E$2,Text!B69,IF(Config!$B$2='Data Validations'!$E$3,Text!C69,"Select a lanaguage in config"))</f>
        <v>External Identities simplifies management and removes confusion around licensing. An organization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organization to have strong and consistent identity controls without complexity.</v>
      </c>
      <c r="U69" s="2" t="s">
        <v>42</v>
      </c>
      <c r="V69" s="122" t="s">
        <v>279</v>
      </c>
      <c r="W69" s="10" t="s">
        <v>377</v>
      </c>
      <c r="X69" s="26" t="s">
        <v>281</v>
      </c>
      <c r="Y69" s="26" t="s">
        <v>237</v>
      </c>
      <c r="Z69" s="26" t="s">
        <v>42</v>
      </c>
      <c r="AA69" s="2" t="s">
        <v>238</v>
      </c>
      <c r="AB69" s="61"/>
      <c r="AC69" s="2"/>
      <c r="AD69" s="2"/>
    </row>
    <row r="70" spans="1:30" ht="15" customHeight="1" x14ac:dyDescent="0.45">
      <c r="A70" s="289" t="s">
        <v>1424</v>
      </c>
      <c r="B70" s="1" t="s">
        <v>1496</v>
      </c>
      <c r="C70" s="147" t="s">
        <v>246</v>
      </c>
      <c r="D70" s="6" t="str">
        <f>CONCATENATE(ROW(A64))</f>
        <v>64</v>
      </c>
      <c r="E70" s="6"/>
      <c r="F70" s="13" t="s">
        <v>54</v>
      </c>
      <c r="G70" s="153"/>
      <c r="H70" s="154"/>
      <c r="I70" s="245"/>
      <c r="J70" s="177"/>
      <c r="K70" s="41"/>
      <c r="L70" s="14" t="s">
        <v>54</v>
      </c>
      <c r="M70" s="14" t="s">
        <v>54</v>
      </c>
      <c r="N70" s="14" t="s">
        <v>54</v>
      </c>
      <c r="O70" s="14"/>
      <c r="P70" s="14"/>
      <c r="Q70" s="2"/>
      <c r="R70" s="2"/>
      <c r="S70" s="2" t="s">
        <v>261</v>
      </c>
      <c r="T70" s="2" t="str">
        <f>IF(Config!$B$2='Data Validations'!$E$2,Text!B70,IF(Config!$B$2='Data Validations'!$E$3,Text!C70,"Select a lanaguage in config"))</f>
        <v>With Microsoft Entra ID entitlement management, you can collaborate with people outside your organization. If you frequently collaborate with users in an external Microsoft Entra ID directory or domain, you can add them as a connected organization. A connected organization is another organization that you have a relationship with. In order for the users in that organization to be able to access your resources, such as your SharePoint Online sites or apps, you'll need a representation of that organization's users in that directory. Via Microsoft Entra ID Entitlement Management, you can expose Entitlement Packages to the connected organization greatly reducing the friction of collaboration and guest management.</v>
      </c>
      <c r="U70" s="2" t="s">
        <v>315</v>
      </c>
      <c r="V70" s="122" t="s">
        <v>279</v>
      </c>
      <c r="W70" s="10" t="s">
        <v>378</v>
      </c>
      <c r="X70" s="26" t="s">
        <v>575</v>
      </c>
      <c r="Y70" s="26" t="s">
        <v>237</v>
      </c>
      <c r="Z70" s="26" t="s">
        <v>42</v>
      </c>
      <c r="AA70" s="2" t="s">
        <v>238</v>
      </c>
      <c r="AB70" s="61"/>
      <c r="AC70" s="2"/>
      <c r="AD70" s="2"/>
    </row>
    <row r="71" spans="1:30" ht="15" customHeight="1" x14ac:dyDescent="0.45">
      <c r="A71" s="289" t="s">
        <v>379</v>
      </c>
      <c r="B71" s="147" t="s">
        <v>231</v>
      </c>
      <c r="C71" s="147" t="s">
        <v>246</v>
      </c>
      <c r="D71" s="148"/>
      <c r="E71" s="6"/>
      <c r="F71" s="13" t="s">
        <v>54</v>
      </c>
      <c r="G71" s="153"/>
      <c r="H71" s="154"/>
      <c r="I71" s="245"/>
      <c r="J71" s="177"/>
      <c r="K71" s="41"/>
      <c r="L71" s="14" t="s">
        <v>54</v>
      </c>
      <c r="M71" s="14" t="s">
        <v>54</v>
      </c>
      <c r="N71" s="14" t="s">
        <v>54</v>
      </c>
      <c r="O71" s="14"/>
      <c r="P71" s="14"/>
      <c r="Q71" s="2"/>
      <c r="R71" s="2"/>
      <c r="S71" s="2" t="s">
        <v>261</v>
      </c>
      <c r="T71" s="2" t="str">
        <f>IF(Config!$B$2='Data Validations'!$E$2,Text!B71,IF(Config!$B$2='Data Validations'!$E$3,Text!C71,"Select a lanaguage in config"))</f>
        <v>Microsoft Entra B2B direct connect is a feature of External Identities that lets you set up a mutual trust relationship with another Microsoft Entra ID organization for seamless collaboration. This feature currently works with Microsoft Teams shared channels. With B2B direct connect, users from both organizations can work together using their home credentials and a shared channel in Teams, without having to be added to each other’s organizations as guests. Use B2B direct connect to share resources with external Microsoft Entra ID organizations. Or use it to share resources across multiple Microsoft Entra ID tenants within your own organization.</v>
      </c>
      <c r="U71" s="2" t="s">
        <v>315</v>
      </c>
      <c r="V71" s="122" t="s">
        <v>279</v>
      </c>
      <c r="W71" s="10" t="s">
        <v>378</v>
      </c>
      <c r="X71" s="26" t="s">
        <v>1243</v>
      </c>
      <c r="Y71" s="26" t="s">
        <v>237</v>
      </c>
      <c r="Z71" s="26" t="s">
        <v>42</v>
      </c>
      <c r="AA71" s="2" t="s">
        <v>238</v>
      </c>
      <c r="AB71" s="61"/>
      <c r="AC71" s="2"/>
      <c r="AD71" s="2"/>
    </row>
    <row r="72" spans="1:30" ht="15" customHeight="1" x14ac:dyDescent="0.45">
      <c r="A72" s="305" t="s">
        <v>380</v>
      </c>
      <c r="B72" s="13" t="s">
        <v>259</v>
      </c>
      <c r="C72" s="13" t="s">
        <v>259</v>
      </c>
      <c r="D72" s="13" t="s">
        <v>259</v>
      </c>
      <c r="E72" s="2" t="s">
        <v>259</v>
      </c>
      <c r="F72" s="2" t="s">
        <v>259</v>
      </c>
      <c r="G72" s="151" t="s">
        <v>259</v>
      </c>
      <c r="H72" s="152" t="s">
        <v>259</v>
      </c>
      <c r="I72" s="244" t="s">
        <v>259</v>
      </c>
      <c r="J72" s="175" t="s">
        <v>259</v>
      </c>
      <c r="K72" s="259" t="s">
        <v>259</v>
      </c>
      <c r="L72" s="152" t="s">
        <v>259</v>
      </c>
      <c r="M72" s="152" t="s">
        <v>259</v>
      </c>
      <c r="N72" s="152" t="s">
        <v>259</v>
      </c>
      <c r="O72" s="2" t="s">
        <v>259</v>
      </c>
      <c r="P72" s="2" t="s">
        <v>259</v>
      </c>
      <c r="Q72" s="2" t="s">
        <v>259</v>
      </c>
      <c r="R72" s="2" t="s">
        <v>259</v>
      </c>
      <c r="S72" s="2" t="s">
        <v>259</v>
      </c>
      <c r="T72" s="2" t="str">
        <f>IF(Config!$B$2='Data Validations'!$E$2,Text!B72,IF(Config!$B$2='Data Validations'!$E$3,Text!C72,"Select a lanaguage in config"))</f>
        <v>_</v>
      </c>
      <c r="U72" s="2" t="s">
        <v>259</v>
      </c>
      <c r="V72" s="2" t="s">
        <v>259</v>
      </c>
      <c r="W72" s="2" t="s">
        <v>259</v>
      </c>
      <c r="X72" s="2" t="s">
        <v>259</v>
      </c>
      <c r="Y72" s="2" t="s">
        <v>259</v>
      </c>
      <c r="Z72" s="2" t="s">
        <v>259</v>
      </c>
      <c r="AA72" s="2" t="s">
        <v>259</v>
      </c>
      <c r="AB72" s="61" t="s">
        <v>328</v>
      </c>
      <c r="AC72" s="2" t="s">
        <v>244</v>
      </c>
      <c r="AD72" s="2"/>
    </row>
    <row r="73" spans="1:30" ht="15" customHeight="1" x14ac:dyDescent="0.45">
      <c r="A73" s="289" t="s">
        <v>381</v>
      </c>
      <c r="B73" s="1" t="s">
        <v>231</v>
      </c>
      <c r="C73" s="1" t="s">
        <v>359</v>
      </c>
      <c r="D73" s="6"/>
      <c r="E73" s="6" t="s">
        <v>247</v>
      </c>
      <c r="F73" s="13" t="s">
        <v>54</v>
      </c>
      <c r="G73" s="168"/>
      <c r="H73" s="169"/>
      <c r="I73" s="251"/>
      <c r="J73" s="181"/>
      <c r="K73" s="41"/>
      <c r="L73" s="14" t="s">
        <v>54</v>
      </c>
      <c r="M73" s="14" t="s">
        <v>54</v>
      </c>
      <c r="N73" s="14" t="s">
        <v>54</v>
      </c>
      <c r="O73" s="14"/>
      <c r="P73" s="14"/>
      <c r="Q73" s="2"/>
      <c r="R73" s="2"/>
      <c r="S73" s="62" t="s">
        <v>305</v>
      </c>
      <c r="T73" s="2" t="str">
        <f>IF(Config!$B$2='Data Validations'!$E$2,Text!B73,IF(Config!$B$2='Data Validations'!$E$3,Text!C73,"Select a lanaguage in config"))</f>
        <v>Proactively monitor your Microsoft 365 environment, acting upon recommendations to harden your environment and improve your security posture. Allows you to track improves to score over time and how you rate against similar organizations to yourself</v>
      </c>
      <c r="U73" s="4" t="s">
        <v>382</v>
      </c>
      <c r="V73" s="122" t="s">
        <v>312</v>
      </c>
      <c r="W73" s="21" t="s">
        <v>364</v>
      </c>
      <c r="X73" s="37" t="s">
        <v>281</v>
      </c>
      <c r="Y73" s="26" t="s">
        <v>383</v>
      </c>
      <c r="Z73" s="26" t="s">
        <v>384</v>
      </c>
      <c r="AA73" s="2" t="s">
        <v>238</v>
      </c>
      <c r="AB73" s="264" t="s">
        <v>250</v>
      </c>
      <c r="AC73" s="2" t="s">
        <v>244</v>
      </c>
      <c r="AD73" s="1"/>
    </row>
    <row r="74" spans="1:30" ht="15" customHeight="1" x14ac:dyDescent="0.45">
      <c r="A74" s="308" t="s">
        <v>385</v>
      </c>
      <c r="B74" s="13" t="s">
        <v>229</v>
      </c>
      <c r="C74" s="13" t="s">
        <v>229</v>
      </c>
      <c r="D74" s="13" t="s">
        <v>229</v>
      </c>
      <c r="E74" s="13" t="s">
        <v>229</v>
      </c>
      <c r="F74" s="13" t="s">
        <v>229</v>
      </c>
      <c r="G74" s="151" t="s">
        <v>229</v>
      </c>
      <c r="H74" s="152" t="s">
        <v>229</v>
      </c>
      <c r="I74" s="244" t="s">
        <v>229</v>
      </c>
      <c r="J74" s="175" t="s">
        <v>229</v>
      </c>
      <c r="K74" s="259" t="s">
        <v>229</v>
      </c>
      <c r="L74" s="152" t="s">
        <v>229</v>
      </c>
      <c r="M74" s="152" t="s">
        <v>229</v>
      </c>
      <c r="N74" s="152" t="s">
        <v>229</v>
      </c>
      <c r="O74" s="13" t="s">
        <v>229</v>
      </c>
      <c r="P74" s="13" t="s">
        <v>229</v>
      </c>
      <c r="Q74" s="13" t="s">
        <v>229</v>
      </c>
      <c r="R74" s="13" t="s">
        <v>229</v>
      </c>
      <c r="S74" s="13" t="s">
        <v>229</v>
      </c>
      <c r="T74" s="2" t="str">
        <f>IF(Config!$B$2='Data Validations'!$E$2,Text!B74,IF(Config!$B$2='Data Validations'!$E$3,Text!C74,"Select a lanaguage in config"))</f>
        <v>__</v>
      </c>
      <c r="U74" s="13" t="s">
        <v>229</v>
      </c>
      <c r="V74" s="13" t="s">
        <v>229</v>
      </c>
      <c r="W74" s="13" t="s">
        <v>229</v>
      </c>
      <c r="X74" s="13" t="s">
        <v>229</v>
      </c>
      <c r="Y74" s="13" t="s">
        <v>229</v>
      </c>
      <c r="Z74" s="13" t="s">
        <v>229</v>
      </c>
      <c r="AA74" s="13" t="s">
        <v>229</v>
      </c>
      <c r="AB74" s="264"/>
      <c r="AC74" s="2" t="s">
        <v>386</v>
      </c>
      <c r="AD74" s="2"/>
    </row>
    <row r="75" spans="1:30" ht="15" customHeight="1" x14ac:dyDescent="0.45">
      <c r="A75" s="305" t="s">
        <v>387</v>
      </c>
      <c r="B75" s="13" t="s">
        <v>259</v>
      </c>
      <c r="C75" s="13" t="s">
        <v>259</v>
      </c>
      <c r="D75" s="13" t="s">
        <v>259</v>
      </c>
      <c r="E75" s="13" t="s">
        <v>259</v>
      </c>
      <c r="F75" s="13" t="s">
        <v>259</v>
      </c>
      <c r="G75" s="151" t="s">
        <v>259</v>
      </c>
      <c r="H75" s="152" t="s">
        <v>259</v>
      </c>
      <c r="I75" s="244" t="s">
        <v>259</v>
      </c>
      <c r="J75" s="175" t="s">
        <v>259</v>
      </c>
      <c r="K75" s="259" t="s">
        <v>259</v>
      </c>
      <c r="L75" s="152" t="s">
        <v>259</v>
      </c>
      <c r="M75" s="152" t="s">
        <v>259</v>
      </c>
      <c r="N75" s="152" t="s">
        <v>259</v>
      </c>
      <c r="O75" s="13" t="s">
        <v>259</v>
      </c>
      <c r="P75" s="13" t="s">
        <v>259</v>
      </c>
      <c r="Q75" s="13" t="s">
        <v>259</v>
      </c>
      <c r="R75" s="13" t="s">
        <v>259</v>
      </c>
      <c r="S75" s="13" t="s">
        <v>259</v>
      </c>
      <c r="T75" s="2" t="str">
        <f>IF(Config!$B$2='Data Validations'!$E$2,Text!B75,IF(Config!$B$2='Data Validations'!$E$3,Text!C75,"Select a lanaguage in config"))</f>
        <v>_</v>
      </c>
      <c r="U75" s="13" t="s">
        <v>259</v>
      </c>
      <c r="V75" s="2" t="s">
        <v>259</v>
      </c>
      <c r="W75" s="13" t="s">
        <v>259</v>
      </c>
      <c r="X75" s="13" t="s">
        <v>259</v>
      </c>
      <c r="Y75" s="13" t="s">
        <v>259</v>
      </c>
      <c r="Z75" s="13" t="s">
        <v>259</v>
      </c>
      <c r="AA75" s="13" t="s">
        <v>259</v>
      </c>
      <c r="AB75" s="61" t="s">
        <v>388</v>
      </c>
      <c r="AC75" s="2" t="s">
        <v>386</v>
      </c>
      <c r="AD75" s="2"/>
    </row>
    <row r="76" spans="1:30" ht="15" customHeight="1" x14ac:dyDescent="0.45">
      <c r="A76" s="289" t="s">
        <v>389</v>
      </c>
      <c r="B76" s="1" t="s">
        <v>231</v>
      </c>
      <c r="C76" s="1" t="s">
        <v>232</v>
      </c>
      <c r="D76" s="6" t="str">
        <f>CONCATENATE(ROW(A4))</f>
        <v>4</v>
      </c>
      <c r="E76" s="6" t="s">
        <v>247</v>
      </c>
      <c r="F76" s="13" t="s">
        <v>54</v>
      </c>
      <c r="G76" s="157"/>
      <c r="H76" s="154"/>
      <c r="I76" s="337"/>
      <c r="J76" s="176"/>
      <c r="K76" s="41"/>
      <c r="L76" s="14" t="s">
        <v>54</v>
      </c>
      <c r="M76" s="14" t="s">
        <v>54</v>
      </c>
      <c r="N76" s="14" t="s">
        <v>54</v>
      </c>
      <c r="O76" s="14"/>
      <c r="P76" s="14"/>
      <c r="Q76" s="2"/>
      <c r="R76" s="2"/>
      <c r="S76" s="2" t="s">
        <v>278</v>
      </c>
      <c r="T76" s="2" t="str">
        <f>IF(Config!$B$2='Data Validations'!$E$2,Text!B76,IF(Config!$B$2='Data Validations'!$E$3,Text!C76,"Select a lanaguage in config"))</f>
        <v>Allows you to define a minimum level of security on the endpoint (iOS, Android, MacOS and Windows). The compliance of the device (health attestation) is then used for device based conditional access - i.e., of the device is not compliant to the policy, the user will not be able to access services protected with that conditional access policy. This allows you to define and confirm trust in the device before allowing access</v>
      </c>
      <c r="U76" s="4" t="s">
        <v>406</v>
      </c>
      <c r="V76" s="298" t="s">
        <v>1220</v>
      </c>
      <c r="W76" s="38" t="s">
        <v>390</v>
      </c>
      <c r="X76" s="37" t="s">
        <v>1223</v>
      </c>
      <c r="Y76" s="26" t="s">
        <v>391</v>
      </c>
      <c r="Z76" s="26" t="s">
        <v>392</v>
      </c>
      <c r="AA76" s="2" t="s">
        <v>238</v>
      </c>
      <c r="AB76" s="264"/>
      <c r="AC76" s="2" t="s">
        <v>386</v>
      </c>
      <c r="AD76" s="1" t="s">
        <v>393</v>
      </c>
    </row>
    <row r="77" spans="1:30" ht="15" customHeight="1" x14ac:dyDescent="0.45">
      <c r="A77" s="289" t="s">
        <v>394</v>
      </c>
      <c r="B77" s="1" t="s">
        <v>231</v>
      </c>
      <c r="C77" s="1" t="s">
        <v>246</v>
      </c>
      <c r="D77" s="6" t="str">
        <f>CONCATENATE(ROW(A76))</f>
        <v>76</v>
      </c>
      <c r="E77" s="6" t="s">
        <v>247</v>
      </c>
      <c r="F77" s="13" t="s">
        <v>54</v>
      </c>
      <c r="G77" s="157"/>
      <c r="H77" s="157"/>
      <c r="I77" s="337"/>
      <c r="J77" s="176"/>
      <c r="K77" s="41"/>
      <c r="L77" s="14" t="s">
        <v>54</v>
      </c>
      <c r="M77" s="14" t="s">
        <v>54</v>
      </c>
      <c r="N77" s="14" t="s">
        <v>54</v>
      </c>
      <c r="O77" s="14"/>
      <c r="P77" s="14"/>
      <c r="Q77" s="2"/>
      <c r="R77" s="2"/>
      <c r="S77" s="2" t="s">
        <v>289</v>
      </c>
      <c r="T77" s="2" t="str">
        <f>IF(Config!$B$2='Data Validations'!$E$2,Text!B77,IF(Config!$B$2='Data Validations'!$E$3,Text!C77,"Select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v>
      </c>
      <c r="U77" s="2" t="s">
        <v>1213</v>
      </c>
      <c r="V77" s="298" t="s">
        <v>1220</v>
      </c>
      <c r="W77" s="10" t="s">
        <v>395</v>
      </c>
      <c r="X77" s="37" t="s">
        <v>1223</v>
      </c>
      <c r="Y77" s="26" t="s">
        <v>391</v>
      </c>
      <c r="Z77" s="26" t="s">
        <v>392</v>
      </c>
      <c r="AA77" s="2" t="s">
        <v>238</v>
      </c>
      <c r="AB77" s="264"/>
      <c r="AC77" s="2" t="s">
        <v>386</v>
      </c>
      <c r="AD77" s="2"/>
    </row>
    <row r="78" spans="1:30" ht="15" customHeight="1" x14ac:dyDescent="0.45">
      <c r="A78" s="289" t="s">
        <v>396</v>
      </c>
      <c r="B78" s="1" t="s">
        <v>231</v>
      </c>
      <c r="C78" s="1" t="s">
        <v>246</v>
      </c>
      <c r="D78" s="6" t="str">
        <f>CONCATENATE(ROW(A76))</f>
        <v>76</v>
      </c>
      <c r="E78" s="6" t="s">
        <v>247</v>
      </c>
      <c r="F78" s="13" t="s">
        <v>54</v>
      </c>
      <c r="G78" s="157"/>
      <c r="H78" s="154"/>
      <c r="I78" s="337"/>
      <c r="J78" s="176"/>
      <c r="K78" s="41"/>
      <c r="L78" s="14" t="s">
        <v>54</v>
      </c>
      <c r="M78" s="14" t="s">
        <v>54</v>
      </c>
      <c r="N78" s="14" t="s">
        <v>54</v>
      </c>
      <c r="O78" s="14"/>
      <c r="P78" s="14"/>
      <c r="Q78" s="2"/>
      <c r="R78" s="2"/>
      <c r="S78" s="2" t="s">
        <v>289</v>
      </c>
      <c r="T78" s="2" t="str">
        <f>IF(Config!$B$2='Data Validations'!$E$2,Text!B78,IF(Config!$B$2='Data Validations'!$E$3,Text!C78,"Select a lanaguage in config"))</f>
        <v>Mobile Application Management (MAM) policies control the flow of data on a device. This can prevent your organizations data being copied out of a manged application (like Outlook or Teams) to an unmanaged application on the device (such as the note taking app or native email client). Can stop common data breaches/oversharing be them accidental or malicious</v>
      </c>
      <c r="U78" s="2" t="s">
        <v>1213</v>
      </c>
      <c r="V78" s="298" t="s">
        <v>1220</v>
      </c>
      <c r="W78" s="10" t="s">
        <v>395</v>
      </c>
      <c r="X78" s="37" t="s">
        <v>1223</v>
      </c>
      <c r="Y78" s="26" t="s">
        <v>391</v>
      </c>
      <c r="Z78" s="26" t="s">
        <v>392</v>
      </c>
      <c r="AA78" s="2" t="s">
        <v>238</v>
      </c>
      <c r="AB78" s="264"/>
      <c r="AC78" s="2" t="s">
        <v>386</v>
      </c>
      <c r="AD78" s="2"/>
    </row>
    <row r="79" spans="1:30" ht="15" customHeight="1" x14ac:dyDescent="0.45">
      <c r="A79" s="289" t="s">
        <v>397</v>
      </c>
      <c r="B79" s="1" t="s">
        <v>231</v>
      </c>
      <c r="C79" s="1" t="s">
        <v>246</v>
      </c>
      <c r="D79" s="6" t="str">
        <f>CONCATENATE(ROW(A76))</f>
        <v>76</v>
      </c>
      <c r="E79" s="6" t="s">
        <v>247</v>
      </c>
      <c r="F79" s="13" t="s">
        <v>54</v>
      </c>
      <c r="G79" s="157"/>
      <c r="H79" s="157"/>
      <c r="I79" s="337"/>
      <c r="J79" s="176"/>
      <c r="K79" s="41"/>
      <c r="L79" s="14" t="s">
        <v>54</v>
      </c>
      <c r="M79" s="14" t="s">
        <v>54</v>
      </c>
      <c r="N79" s="14" t="s">
        <v>54</v>
      </c>
      <c r="O79" s="14"/>
      <c r="P79" s="14"/>
      <c r="Q79" s="2"/>
      <c r="R79" s="2"/>
      <c r="S79" s="2" t="s">
        <v>289</v>
      </c>
      <c r="T79" s="2" t="str">
        <f>IF(Config!$B$2='Data Validations'!$E$2,Text!B79,IF(Config!$B$2='Data Validations'!$E$3,Text!C79,"Select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v>
      </c>
      <c r="U79" s="2" t="s">
        <v>1213</v>
      </c>
      <c r="V79" s="298" t="s">
        <v>1220</v>
      </c>
      <c r="W79" s="10" t="s">
        <v>395</v>
      </c>
      <c r="X79" s="37" t="s">
        <v>1223</v>
      </c>
      <c r="Y79" s="26" t="s">
        <v>391</v>
      </c>
      <c r="Z79" s="26" t="s">
        <v>392</v>
      </c>
      <c r="AA79" s="2" t="s">
        <v>238</v>
      </c>
      <c r="AB79" s="264"/>
      <c r="AC79" s="2" t="s">
        <v>386</v>
      </c>
      <c r="AD79" s="2"/>
    </row>
    <row r="80" spans="1:30" ht="15" customHeight="1" x14ac:dyDescent="0.45">
      <c r="A80" s="289" t="s">
        <v>398</v>
      </c>
      <c r="B80" s="1" t="s">
        <v>231</v>
      </c>
      <c r="C80" s="147" t="s">
        <v>232</v>
      </c>
      <c r="D80" s="148" t="str">
        <f>CONCATENATE(ROW(A79))</f>
        <v>79</v>
      </c>
      <c r="E80" s="148"/>
      <c r="F80" s="13" t="s">
        <v>54</v>
      </c>
      <c r="G80" s="154"/>
      <c r="H80" s="154"/>
      <c r="I80" s="186"/>
      <c r="J80" s="188"/>
      <c r="K80" s="330"/>
      <c r="L80" s="14" t="s">
        <v>54</v>
      </c>
      <c r="M80" s="14" t="s">
        <v>54</v>
      </c>
      <c r="N80" s="14" t="s">
        <v>54</v>
      </c>
      <c r="O80" s="146"/>
      <c r="P80" s="146"/>
      <c r="Q80" s="13"/>
      <c r="R80" s="13"/>
      <c r="S80" s="13" t="s">
        <v>233</v>
      </c>
      <c r="T80" s="2" t="str">
        <f>IF(Config!$B$2='Data Validations'!$E$2,Text!B80,IF(Config!$B$2='Data Validations'!$E$3,Text!C80,"Select a lanaguage in config"))</f>
        <v>organizations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v>
      </c>
      <c r="U80" s="13" t="s">
        <v>406</v>
      </c>
      <c r="V80" s="298" t="s">
        <v>1220</v>
      </c>
      <c r="W80" s="184" t="s">
        <v>242</v>
      </c>
      <c r="X80" s="37" t="s">
        <v>399</v>
      </c>
      <c r="Y80" s="26" t="s">
        <v>391</v>
      </c>
      <c r="Z80" s="26" t="s">
        <v>392</v>
      </c>
      <c r="AA80" s="13"/>
      <c r="AB80" s="264"/>
      <c r="AC80" s="2"/>
      <c r="AD80" s="2"/>
    </row>
    <row r="81" spans="1:30" ht="15" customHeight="1" x14ac:dyDescent="0.45">
      <c r="A81" s="289" t="s">
        <v>164</v>
      </c>
      <c r="B81" s="1" t="s">
        <v>231</v>
      </c>
      <c r="C81" s="147" t="s">
        <v>246</v>
      </c>
      <c r="D81" s="148" t="str">
        <f>CONCATENATE(ROW(A80))</f>
        <v>80</v>
      </c>
      <c r="E81" s="148"/>
      <c r="F81" s="13" t="s">
        <v>54</v>
      </c>
      <c r="G81" s="154"/>
      <c r="H81" s="154"/>
      <c r="I81" s="252"/>
      <c r="J81" s="189"/>
      <c r="K81" s="41"/>
      <c r="L81" s="14" t="s">
        <v>54</v>
      </c>
      <c r="M81" s="14" t="s">
        <v>54</v>
      </c>
      <c r="N81" s="14" t="s">
        <v>54</v>
      </c>
      <c r="O81" s="146"/>
      <c r="P81" s="146"/>
      <c r="Q81" s="13"/>
      <c r="R81" s="13"/>
      <c r="S81" s="13" t="s">
        <v>261</v>
      </c>
      <c r="T81" s="2" t="str">
        <f>IF(Config!$B$2='Data Validations'!$E$2,Text!B81,IF(Config!$B$2='Data Validations'!$E$3,Text!C81,"Select a lanaguage in config"))</f>
        <v>Endpoint analytics is part of the Microsoft Adoption Score. These analytics give you insights for measuring how your organization is working and the quality of the experience you're delivering to your users. Endpoint analytics can help identify policies or hardware issues that may be slowing down devices and help you proactively make improvements before end-users generate a help desk ticket.</v>
      </c>
      <c r="U81" s="2" t="s">
        <v>1213</v>
      </c>
      <c r="V81" s="298" t="s">
        <v>1220</v>
      </c>
      <c r="W81" s="184" t="s">
        <v>395</v>
      </c>
      <c r="X81" s="37" t="s">
        <v>281</v>
      </c>
      <c r="Y81" s="26" t="s">
        <v>391</v>
      </c>
      <c r="Z81" s="26" t="s">
        <v>392</v>
      </c>
      <c r="AA81" s="13"/>
      <c r="AB81" s="264"/>
      <c r="AC81" s="2"/>
      <c r="AD81" s="2"/>
    </row>
    <row r="82" spans="1:30" ht="15" customHeight="1" x14ac:dyDescent="0.45">
      <c r="A82" s="305" t="s">
        <v>400</v>
      </c>
      <c r="B82" s="13" t="s">
        <v>259</v>
      </c>
      <c r="C82" s="2" t="s">
        <v>259</v>
      </c>
      <c r="D82" s="2" t="s">
        <v>259</v>
      </c>
      <c r="E82" s="2" t="s">
        <v>259</v>
      </c>
      <c r="F82" s="2" t="s">
        <v>259</v>
      </c>
      <c r="G82" s="335" t="s">
        <v>259</v>
      </c>
      <c r="H82" s="336" t="s">
        <v>259</v>
      </c>
      <c r="I82" s="244" t="s">
        <v>259</v>
      </c>
      <c r="J82" s="175" t="s">
        <v>259</v>
      </c>
      <c r="K82" s="259" t="s">
        <v>259</v>
      </c>
      <c r="L82" s="152" t="s">
        <v>259</v>
      </c>
      <c r="M82" s="152" t="s">
        <v>259</v>
      </c>
      <c r="N82" s="152" t="s">
        <v>259</v>
      </c>
      <c r="O82" s="2" t="s">
        <v>259</v>
      </c>
      <c r="P82" s="2" t="s">
        <v>259</v>
      </c>
      <c r="Q82" s="2" t="s">
        <v>259</v>
      </c>
      <c r="R82" s="2" t="s">
        <v>259</v>
      </c>
      <c r="S82" s="2" t="s">
        <v>259</v>
      </c>
      <c r="T82" s="2" t="str">
        <f>IF(Config!$B$2='Data Validations'!$E$2,Text!B82,IF(Config!$B$2='Data Validations'!$E$3,Text!C82,"Select a lanaguage in config"))</f>
        <v>_</v>
      </c>
      <c r="U82" s="2" t="s">
        <v>259</v>
      </c>
      <c r="V82" s="2" t="s">
        <v>259</v>
      </c>
      <c r="W82" s="2" t="s">
        <v>259</v>
      </c>
      <c r="X82" s="2" t="s">
        <v>259</v>
      </c>
      <c r="Y82" s="2" t="s">
        <v>259</v>
      </c>
      <c r="Z82" s="2" t="s">
        <v>259</v>
      </c>
      <c r="AA82" s="2" t="s">
        <v>259</v>
      </c>
      <c r="AB82" s="61" t="s">
        <v>388</v>
      </c>
      <c r="AC82" s="2" t="s">
        <v>386</v>
      </c>
      <c r="AD82" s="2"/>
    </row>
    <row r="83" spans="1:30" ht="15" customHeight="1" x14ac:dyDescent="0.45">
      <c r="A83" s="289" t="s">
        <v>401</v>
      </c>
      <c r="B83" s="1" t="s">
        <v>231</v>
      </c>
      <c r="C83" s="1" t="s">
        <v>232</v>
      </c>
      <c r="D83" s="6" t="str">
        <f>CONCATENATE(ROW(A4))</f>
        <v>4</v>
      </c>
      <c r="E83" s="6"/>
      <c r="F83" s="13" t="s">
        <v>54</v>
      </c>
      <c r="G83" s="153"/>
      <c r="H83" s="155"/>
      <c r="I83" s="245"/>
      <c r="J83" s="176"/>
      <c r="K83" s="41"/>
      <c r="L83" s="14" t="s">
        <v>54</v>
      </c>
      <c r="M83" s="14" t="s">
        <v>54</v>
      </c>
      <c r="N83" s="14" t="s">
        <v>54</v>
      </c>
      <c r="O83" s="14"/>
      <c r="P83" s="14"/>
      <c r="Q83" s="2"/>
      <c r="R83" s="2"/>
      <c r="S83" s="2" t="s">
        <v>261</v>
      </c>
      <c r="T83" s="2" t="str">
        <f>IF(Config!$B$2='Data Validations'!$E$2,Text!B83,IF(Config!$B$2='Data Validations'!$E$3,Text!C83,"Select a lanaguage in config"))</f>
        <v>Categories can be used to define end user experiences on enrolled BYOD devices, for example, categories can be defined as user has a PIN or User doesn’t have a PIN. Categories can be used to define dynamic device groups which then apply appropriate configuration, such as enforcing a stronger PIN to unlock the device (user has PIN) vs requiring the PIN to access managed applications (user doesn't have a PIN). This allows you to enforce your security policies without breaking the users own end user experience</v>
      </c>
      <c r="U83" s="4" t="s">
        <v>406</v>
      </c>
      <c r="V83" s="298" t="s">
        <v>1220</v>
      </c>
      <c r="W83" s="10" t="s">
        <v>395</v>
      </c>
      <c r="X83" s="37" t="s">
        <v>1223</v>
      </c>
      <c r="Y83" s="26" t="s">
        <v>402</v>
      </c>
      <c r="Z83" s="26" t="s">
        <v>392</v>
      </c>
      <c r="AA83" s="2" t="s">
        <v>238</v>
      </c>
      <c r="AB83" s="264"/>
      <c r="AC83" s="2" t="s">
        <v>386</v>
      </c>
      <c r="AD83" s="2"/>
    </row>
    <row r="84" spans="1:30" ht="15" customHeight="1" x14ac:dyDescent="0.45">
      <c r="A84" s="289" t="s">
        <v>403</v>
      </c>
      <c r="B84" s="1" t="s">
        <v>231</v>
      </c>
      <c r="C84" s="1" t="s">
        <v>246</v>
      </c>
      <c r="D84" s="6" t="str">
        <f>CONCATENATE(ROW(A4),",",ROW(A83))</f>
        <v>4,83</v>
      </c>
      <c r="E84" s="6"/>
      <c r="F84" s="13" t="s">
        <v>54</v>
      </c>
      <c r="G84" s="153"/>
      <c r="H84" s="154"/>
      <c r="I84" s="247"/>
      <c r="J84" s="176"/>
      <c r="K84" s="41"/>
      <c r="L84" s="14" t="s">
        <v>54</v>
      </c>
      <c r="M84" s="14" t="s">
        <v>54</v>
      </c>
      <c r="N84" s="14" t="s">
        <v>54</v>
      </c>
      <c r="O84" s="14"/>
      <c r="P84" s="14"/>
      <c r="Q84" s="2"/>
      <c r="R84" s="2"/>
      <c r="S84" s="2" t="s">
        <v>289</v>
      </c>
      <c r="T84" s="2" t="str">
        <f>IF(Config!$B$2='Data Validations'!$E$2,Text!B84,IF(Config!$B$2='Data Validations'!$E$3,Text!C84,"Select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 The end user experience on BYOD devices can be further defined through the use of Categories</v>
      </c>
      <c r="U84" s="2" t="s">
        <v>1213</v>
      </c>
      <c r="V84" s="298" t="s">
        <v>1220</v>
      </c>
      <c r="W84" s="10" t="s">
        <v>395</v>
      </c>
      <c r="X84" s="37" t="s">
        <v>1223</v>
      </c>
      <c r="Y84" s="26" t="s">
        <v>402</v>
      </c>
      <c r="Z84" s="26" t="s">
        <v>392</v>
      </c>
      <c r="AA84" s="2" t="s">
        <v>238</v>
      </c>
      <c r="AB84" s="264"/>
      <c r="AC84" s="2" t="s">
        <v>386</v>
      </c>
      <c r="AD84" s="2"/>
    </row>
    <row r="85" spans="1:30" ht="15" customHeight="1" x14ac:dyDescent="0.45">
      <c r="A85" s="289" t="s">
        <v>404</v>
      </c>
      <c r="B85" s="1" t="s">
        <v>231</v>
      </c>
      <c r="C85" s="1" t="s">
        <v>246</v>
      </c>
      <c r="D85" s="6" t="str">
        <f>CONCATENATE(ROW(A4),",",ROW(A76))</f>
        <v>4,76</v>
      </c>
      <c r="E85" s="6"/>
      <c r="F85" s="13" t="s">
        <v>54</v>
      </c>
      <c r="G85" s="156"/>
      <c r="H85" s="154"/>
      <c r="I85" s="247"/>
      <c r="J85" s="176"/>
      <c r="K85" s="41"/>
      <c r="L85" s="14" t="s">
        <v>54</v>
      </c>
      <c r="M85" s="14" t="s">
        <v>54</v>
      </c>
      <c r="N85" s="14" t="s">
        <v>54</v>
      </c>
      <c r="O85" s="14"/>
      <c r="P85" s="14"/>
      <c r="Q85" s="2"/>
      <c r="R85" s="2"/>
      <c r="S85" s="2" t="s">
        <v>289</v>
      </c>
      <c r="T85" s="2" t="str">
        <f>IF(Config!$B$2='Data Validations'!$E$2,Text!B85,IF(Config!$B$2='Data Validations'!$E$3,Text!C85,"Select a lanaguage in config"))</f>
        <v>Mobile Application Management (MAM) policies control the flow of data on a device. This can prevent your organizations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v>
      </c>
      <c r="U85" s="2" t="s">
        <v>1213</v>
      </c>
      <c r="V85" s="298" t="s">
        <v>1220</v>
      </c>
      <c r="W85" s="10" t="s">
        <v>395</v>
      </c>
      <c r="X85" s="37" t="s">
        <v>1223</v>
      </c>
      <c r="Y85" s="26" t="s">
        <v>402</v>
      </c>
      <c r="Z85" s="26" t="s">
        <v>392</v>
      </c>
      <c r="AA85" s="2" t="s">
        <v>238</v>
      </c>
      <c r="AB85" s="264"/>
      <c r="AC85" s="2" t="s">
        <v>386</v>
      </c>
      <c r="AD85" s="2"/>
    </row>
    <row r="86" spans="1:30" ht="12.95" customHeight="1" x14ac:dyDescent="0.45">
      <c r="A86" s="306" t="s">
        <v>405</v>
      </c>
      <c r="B86" s="1" t="s">
        <v>231</v>
      </c>
      <c r="C86" s="1" t="s">
        <v>359</v>
      </c>
      <c r="D86" s="6" t="str">
        <f>CONCATENATE(ROW(A30))</f>
        <v>30</v>
      </c>
      <c r="E86" s="6"/>
      <c r="F86" s="13" t="s">
        <v>54</v>
      </c>
      <c r="G86" s="168"/>
      <c r="H86" s="169"/>
      <c r="I86" s="251"/>
      <c r="J86" s="181"/>
      <c r="K86" s="41"/>
      <c r="L86" s="14" t="s">
        <v>54</v>
      </c>
      <c r="M86" s="14" t="s">
        <v>54</v>
      </c>
      <c r="N86" s="14" t="s">
        <v>54</v>
      </c>
      <c r="O86" s="14"/>
      <c r="P86" s="14"/>
      <c r="Q86" s="2"/>
      <c r="R86" s="2"/>
      <c r="S86" s="2" t="s">
        <v>261</v>
      </c>
      <c r="T86" s="2" t="str">
        <f>IF(Config!$B$2='Data Validations'!$E$2,Text!B86,IF(Config!$B$2='Data Validations'!$E$3,Text!C86,"Select a lanaguage in config"))</f>
        <v>This process is give confidence there is enough security in place to support remote devices that have not initially been in your control.</v>
      </c>
      <c r="U86" s="4" t="s">
        <v>406</v>
      </c>
      <c r="V86" s="4" t="s">
        <v>323</v>
      </c>
      <c r="W86" s="4" t="s">
        <v>407</v>
      </c>
      <c r="X86" s="29" t="s">
        <v>1222</v>
      </c>
      <c r="Y86" s="25" t="s">
        <v>408</v>
      </c>
      <c r="Z86" s="25" t="s">
        <v>392</v>
      </c>
      <c r="AA86" s="2" t="s">
        <v>238</v>
      </c>
      <c r="AB86" s="264" t="s">
        <v>250</v>
      </c>
      <c r="AC86" s="2" t="s">
        <v>244</v>
      </c>
      <c r="AD86" s="2"/>
    </row>
    <row r="87" spans="1:30" ht="15" customHeight="1" x14ac:dyDescent="0.45">
      <c r="A87" s="305" t="s">
        <v>409</v>
      </c>
      <c r="B87" s="147" t="s">
        <v>259</v>
      </c>
      <c r="C87" s="147" t="s">
        <v>259</v>
      </c>
      <c r="D87" s="147" t="s">
        <v>259</v>
      </c>
      <c r="E87" s="147" t="s">
        <v>259</v>
      </c>
      <c r="F87" s="147" t="s">
        <v>259</v>
      </c>
      <c r="G87" s="187" t="s">
        <v>259</v>
      </c>
      <c r="H87" s="147" t="s">
        <v>259</v>
      </c>
      <c r="I87" s="147" t="s">
        <v>259</v>
      </c>
      <c r="J87" s="190" t="s">
        <v>259</v>
      </c>
      <c r="K87" s="173" t="s">
        <v>259</v>
      </c>
      <c r="L87" s="147" t="s">
        <v>259</v>
      </c>
      <c r="M87" s="147" t="s">
        <v>259</v>
      </c>
      <c r="N87" s="147" t="s">
        <v>259</v>
      </c>
      <c r="O87" s="147" t="s">
        <v>259</v>
      </c>
      <c r="P87" s="147" t="s">
        <v>259</v>
      </c>
      <c r="Q87" s="147" t="s">
        <v>259</v>
      </c>
      <c r="R87" s="147" t="s">
        <v>259</v>
      </c>
      <c r="S87" s="147" t="s">
        <v>259</v>
      </c>
      <c r="T87" s="2" t="str">
        <f>IF(Config!$B$2='Data Validations'!$E$2,Text!B87,IF(Config!$B$2='Data Validations'!$E$3,Text!C87,"Select a lanaguage in config"))</f>
        <v>_</v>
      </c>
      <c r="U87" s="147" t="s">
        <v>259</v>
      </c>
      <c r="V87" s="147" t="s">
        <v>259</v>
      </c>
      <c r="W87" s="147" t="s">
        <v>259</v>
      </c>
      <c r="X87" s="147" t="s">
        <v>259</v>
      </c>
      <c r="Y87" s="147" t="s">
        <v>259</v>
      </c>
      <c r="Z87" s="147" t="s">
        <v>259</v>
      </c>
      <c r="AA87" s="147" t="s">
        <v>259</v>
      </c>
      <c r="AB87" s="264"/>
      <c r="AC87" s="2"/>
      <c r="AD87" s="2"/>
    </row>
    <row r="88" spans="1:30" ht="15" customHeight="1" x14ac:dyDescent="0.45">
      <c r="A88" s="289" t="s">
        <v>1515</v>
      </c>
      <c r="B88" s="147" t="s">
        <v>1493</v>
      </c>
      <c r="C88" s="147" t="s">
        <v>246</v>
      </c>
      <c r="D88" s="148" t="str">
        <f>CONCATENATE(ROW(A4),",",ROW(A47))</f>
        <v>4,47</v>
      </c>
      <c r="E88" s="148"/>
      <c r="F88" s="13" t="s">
        <v>54</v>
      </c>
      <c r="G88" s="154"/>
      <c r="H88" s="154"/>
      <c r="I88" s="338"/>
      <c r="J88" s="177"/>
      <c r="K88" s="331"/>
      <c r="L88" s="14" t="s">
        <v>54</v>
      </c>
      <c r="M88" s="14" t="s">
        <v>54</v>
      </c>
      <c r="N88" s="14" t="s">
        <v>54</v>
      </c>
      <c r="O88" s="41"/>
      <c r="P88" s="41"/>
      <c r="Q88" s="13"/>
      <c r="R88" s="13"/>
      <c r="S88" s="2" t="s">
        <v>289</v>
      </c>
      <c r="T88" s="2" t="str">
        <f>IF(Config!$B$2='Data Validations'!$E$2,Text!B88,IF(Config!$B$2='Data Validations'!$E$3,Text!C88,"Select a lanaguage in config"))</f>
        <v>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organizations on-premises apps and resources using modern authentication, Single Sign On and conditional access. With Tunnel for MAM, your users can use their own device (BYOD) for both work and personal use, without having to grant the organization’s IT department control over that device.</v>
      </c>
      <c r="U88" s="13" t="s">
        <v>406</v>
      </c>
      <c r="V88" s="298" t="s">
        <v>1220</v>
      </c>
      <c r="W88" s="10" t="s">
        <v>395</v>
      </c>
      <c r="X88" s="37" t="s">
        <v>1223</v>
      </c>
      <c r="Y88" s="26" t="s">
        <v>402</v>
      </c>
      <c r="Z88" s="26" t="s">
        <v>392</v>
      </c>
      <c r="AA88" s="13" t="s">
        <v>238</v>
      </c>
      <c r="AB88" s="264"/>
      <c r="AC88" s="2" t="s">
        <v>386</v>
      </c>
      <c r="AD88" s="2"/>
    </row>
    <row r="89" spans="1:30" ht="15" customHeight="1" x14ac:dyDescent="0.45">
      <c r="A89" s="289" t="s">
        <v>126</v>
      </c>
      <c r="B89" s="147" t="s">
        <v>1493</v>
      </c>
      <c r="C89" s="147" t="s">
        <v>246</v>
      </c>
      <c r="D89" s="148" t="str">
        <f>CONCATENATE(ROW(A76))</f>
        <v>76</v>
      </c>
      <c r="E89" s="148"/>
      <c r="F89" s="13" t="s">
        <v>54</v>
      </c>
      <c r="G89" s="154"/>
      <c r="H89" s="154"/>
      <c r="I89" s="338"/>
      <c r="J89" s="177"/>
      <c r="K89" s="331"/>
      <c r="L89" s="14" t="s">
        <v>54</v>
      </c>
      <c r="M89" s="14" t="s">
        <v>54</v>
      </c>
      <c r="N89" s="14" t="s">
        <v>54</v>
      </c>
      <c r="O89" s="41"/>
      <c r="P89" s="41"/>
      <c r="Q89" s="13"/>
      <c r="R89" s="13"/>
      <c r="S89" s="2" t="s">
        <v>289</v>
      </c>
      <c r="T89" s="2" t="str">
        <f>IF(Config!$B$2='Data Validations'!$E$2,Text!B89,IF(Config!$B$2='Data Validations'!$E$3,Text!C89,"Select a lanaguage in config"))</f>
        <v>Extends Intune device management to specialty devices, such as Smart Screens over 30", AR/VR headsets, Wearable headsets and Conference Room meeting devices. This also excludes all devices manageable with Microsoft Intune Plan 1</v>
      </c>
      <c r="U89" s="4" t="s">
        <v>406</v>
      </c>
      <c r="V89" s="298" t="s">
        <v>1220</v>
      </c>
      <c r="W89" s="10" t="s">
        <v>395</v>
      </c>
      <c r="X89" s="37" t="s">
        <v>1223</v>
      </c>
      <c r="Y89" s="26" t="s">
        <v>391</v>
      </c>
      <c r="Z89" s="26" t="s">
        <v>392</v>
      </c>
      <c r="AA89" s="13" t="s">
        <v>238</v>
      </c>
      <c r="AB89" s="264"/>
      <c r="AC89" s="2" t="s">
        <v>386</v>
      </c>
      <c r="AD89" s="2"/>
    </row>
    <row r="90" spans="1:30" ht="15" customHeight="1" x14ac:dyDescent="0.45">
      <c r="A90" s="289" t="s">
        <v>1514</v>
      </c>
      <c r="B90" s="147" t="s">
        <v>1493</v>
      </c>
      <c r="C90" s="147" t="s">
        <v>246</v>
      </c>
      <c r="D90" s="148" t="str">
        <f>CONCATENATE(ROW(A78))</f>
        <v>78</v>
      </c>
      <c r="E90" s="148"/>
      <c r="F90" s="13" t="s">
        <v>54</v>
      </c>
      <c r="G90" s="154"/>
      <c r="H90" s="154"/>
      <c r="I90" s="252"/>
      <c r="J90" s="189"/>
      <c r="K90" s="41"/>
      <c r="L90" s="41" t="s">
        <v>54</v>
      </c>
      <c r="M90" s="41" t="s">
        <v>54</v>
      </c>
      <c r="N90" s="41" t="s">
        <v>54</v>
      </c>
      <c r="O90" s="41"/>
      <c r="P90" s="41"/>
      <c r="Q90" s="41"/>
      <c r="R90" s="41"/>
      <c r="S90" s="2" t="s">
        <v>261</v>
      </c>
      <c r="T90" s="41" t="str">
        <f>IF(Config!$B$2='Data Validations'!$E$2,Text!B90,IF(Config!$B$2='Data Validations'!$E$3,Text!C90,"Select a lanaguage in config"))</f>
        <v>Firmware Over-the-Air (FOTA) updates allow remotely updating the firmware of devices using a wireless connection, rather than requiring the devices to be physically connected to a computer or network.</v>
      </c>
      <c r="U90" s="2" t="s">
        <v>1213</v>
      </c>
      <c r="V90" s="298" t="s">
        <v>1220</v>
      </c>
      <c r="W90" s="10" t="s">
        <v>395</v>
      </c>
      <c r="X90" s="37" t="s">
        <v>399</v>
      </c>
      <c r="Y90" s="26" t="s">
        <v>391</v>
      </c>
      <c r="Z90" s="26" t="s">
        <v>392</v>
      </c>
      <c r="AA90" s="13"/>
      <c r="AB90" s="264"/>
      <c r="AC90" s="2" t="s">
        <v>386</v>
      </c>
      <c r="AD90" s="2"/>
    </row>
    <row r="91" spans="1:30" ht="15" customHeight="1" x14ac:dyDescent="0.45">
      <c r="A91" s="305" t="s">
        <v>1512</v>
      </c>
      <c r="B91" s="147" t="s">
        <v>259</v>
      </c>
      <c r="C91" s="147" t="s">
        <v>259</v>
      </c>
      <c r="D91" s="147" t="s">
        <v>259</v>
      </c>
      <c r="E91" s="147" t="s">
        <v>259</v>
      </c>
      <c r="F91" s="147" t="s">
        <v>259</v>
      </c>
      <c r="G91" s="339" t="s">
        <v>259</v>
      </c>
      <c r="H91" s="340" t="s">
        <v>259</v>
      </c>
      <c r="I91" s="147" t="s">
        <v>259</v>
      </c>
      <c r="J91" s="190" t="s">
        <v>259</v>
      </c>
      <c r="K91" s="173" t="s">
        <v>259</v>
      </c>
      <c r="L91" s="147" t="s">
        <v>259</v>
      </c>
      <c r="M91" s="147" t="s">
        <v>259</v>
      </c>
      <c r="N91" s="147" t="s">
        <v>259</v>
      </c>
      <c r="O91" s="147" t="s">
        <v>259</v>
      </c>
      <c r="P91" s="147" t="s">
        <v>259</v>
      </c>
      <c r="Q91" s="147" t="s">
        <v>259</v>
      </c>
      <c r="R91" s="147" t="s">
        <v>259</v>
      </c>
      <c r="S91" s="147" t="s">
        <v>259</v>
      </c>
      <c r="T91" s="2" t="str">
        <f>IF(Config!$B$2='Data Validations'!$E$2,Text!B91,IF(Config!$B$2='Data Validations'!$E$3,Text!C91,"Select a lanaguage in config"))</f>
        <v>_</v>
      </c>
      <c r="U91" s="147" t="s">
        <v>259</v>
      </c>
      <c r="V91" s="147" t="s">
        <v>259</v>
      </c>
      <c r="W91" s="147" t="s">
        <v>259</v>
      </c>
      <c r="X91" s="147" t="s">
        <v>259</v>
      </c>
      <c r="Y91" s="147" t="s">
        <v>259</v>
      </c>
      <c r="Z91" s="147" t="s">
        <v>259</v>
      </c>
      <c r="AA91" s="147" t="s">
        <v>259</v>
      </c>
      <c r="AB91" s="264"/>
      <c r="AC91" s="2"/>
      <c r="AD91" s="2"/>
    </row>
    <row r="92" spans="1:30" ht="15" customHeight="1" x14ac:dyDescent="0.45">
      <c r="A92" s="309" t="s">
        <v>160</v>
      </c>
      <c r="B92" s="1" t="s">
        <v>231</v>
      </c>
      <c r="C92" s="1" t="s">
        <v>239</v>
      </c>
      <c r="D92" s="6" t="str">
        <f>CONCATENATE(ROW(A79))</f>
        <v>79</v>
      </c>
      <c r="E92" s="6"/>
      <c r="F92" s="13" t="s">
        <v>54</v>
      </c>
      <c r="G92" s="153"/>
      <c r="H92" s="155"/>
      <c r="I92" s="245"/>
      <c r="J92" s="176"/>
      <c r="K92" s="41"/>
      <c r="L92" s="14" t="s">
        <v>54</v>
      </c>
      <c r="M92" s="14" t="s">
        <v>54</v>
      </c>
      <c r="N92" s="14" t="s">
        <v>54</v>
      </c>
      <c r="O92" s="14"/>
      <c r="P92" s="14"/>
      <c r="Q92" s="2"/>
      <c r="R92" s="2"/>
      <c r="S92" s="2" t="s">
        <v>261</v>
      </c>
      <c r="T92" s="2" t="str">
        <f>IF(Config!$B$2='Data Validations'!$E$2,Text!B92,IF(Config!$B$2='Data Validations'!$E$3,Text!C92,"Select a lanaguage in config"))</f>
        <v>Remote help allows helpdesk and support admins to remotely control a Windows desktop with centralised controls via Microsoft Endpoint Manager</v>
      </c>
      <c r="U92" s="2" t="s">
        <v>1214</v>
      </c>
      <c r="V92" s="298" t="s">
        <v>1220</v>
      </c>
      <c r="W92" s="10" t="s">
        <v>410</v>
      </c>
      <c r="X92" s="37" t="s">
        <v>1223</v>
      </c>
      <c r="Y92" s="26" t="s">
        <v>411</v>
      </c>
      <c r="Z92" s="26" t="s">
        <v>392</v>
      </c>
      <c r="AA92" s="2" t="s">
        <v>238</v>
      </c>
      <c r="AB92" s="264"/>
      <c r="AC92" s="2" t="s">
        <v>386</v>
      </c>
      <c r="AD92" s="2"/>
    </row>
    <row r="93" spans="1:30" ht="15" customHeight="1" x14ac:dyDescent="0.45">
      <c r="A93" s="289" t="s">
        <v>96</v>
      </c>
      <c r="B93" s="334" t="s">
        <v>1120</v>
      </c>
      <c r="C93" s="1" t="s">
        <v>239</v>
      </c>
      <c r="D93" s="6" t="str">
        <f>CONCATENATE(ROW(A79))</f>
        <v>79</v>
      </c>
      <c r="E93" s="148"/>
      <c r="F93" s="13" t="s">
        <v>54</v>
      </c>
      <c r="G93" s="153"/>
      <c r="H93" s="154"/>
      <c r="I93" s="245"/>
      <c r="J93" s="177"/>
      <c r="K93" s="41"/>
      <c r="L93" s="14" t="s">
        <v>54</v>
      </c>
      <c r="M93" s="14" t="s">
        <v>54</v>
      </c>
      <c r="N93" s="14" t="s">
        <v>54</v>
      </c>
      <c r="O93" s="146"/>
      <c r="P93" s="146"/>
      <c r="Q93" s="13"/>
      <c r="R93" s="13"/>
      <c r="S93" s="2" t="s">
        <v>289</v>
      </c>
      <c r="T93" s="2" t="str">
        <f>IF(Config!$B$2='Data Validations'!$E$2,Text!B93,IF(Config!$B$2='Data Validations'!$E$3,Text!C93,"Select a lanaguage in config"))</f>
        <v>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organizational policies. This allows enterprises to stay secure while improving efficiency for IT teams and removing friction to accomplish work and achieve business goals.</v>
      </c>
      <c r="U93" s="2" t="s">
        <v>1214</v>
      </c>
      <c r="V93" s="298" t="s">
        <v>1220</v>
      </c>
      <c r="W93" s="184" t="s">
        <v>395</v>
      </c>
      <c r="X93" s="37" t="s">
        <v>1224</v>
      </c>
      <c r="Y93" s="26" t="s">
        <v>391</v>
      </c>
      <c r="Z93" s="26" t="s">
        <v>392</v>
      </c>
      <c r="AA93" s="13"/>
      <c r="AB93" s="264"/>
      <c r="AC93" s="2" t="s">
        <v>386</v>
      </c>
      <c r="AD93" s="2"/>
    </row>
    <row r="94" spans="1:30" ht="15" customHeight="1" x14ac:dyDescent="0.45">
      <c r="A94" s="289" t="s">
        <v>95</v>
      </c>
      <c r="B94" s="1" t="s">
        <v>231</v>
      </c>
      <c r="C94" s="1" t="s">
        <v>239</v>
      </c>
      <c r="D94" s="6" t="str">
        <f>CONCATENATE(ROW(A81))</f>
        <v>81</v>
      </c>
      <c r="E94" s="148"/>
      <c r="F94" s="13" t="s">
        <v>54</v>
      </c>
      <c r="G94" s="153"/>
      <c r="H94" s="155"/>
      <c r="I94" s="245"/>
      <c r="J94" s="177"/>
      <c r="K94" s="41"/>
      <c r="L94" s="14" t="s">
        <v>54</v>
      </c>
      <c r="M94" s="14" t="s">
        <v>54</v>
      </c>
      <c r="N94" s="14" t="s">
        <v>54</v>
      </c>
      <c r="O94" s="146"/>
      <c r="P94" s="146"/>
      <c r="Q94" s="13"/>
      <c r="R94" s="13"/>
      <c r="S94" s="13" t="s">
        <v>261</v>
      </c>
      <c r="T94" s="2" t="str">
        <f>IF(Config!$B$2='Data Validations'!$E$2,Text!B94,IF(Config!$B$2='Data Validations'!$E$3,Text!C94,"Select a lanaguage in config"))</f>
        <v>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organization for user experience and productivity regressions following configuration changes. For more information, see Anomaly detection. Also, An enhanced device timeline includes more events and lower data latency to assist with troubleshooting device issues.</v>
      </c>
      <c r="U94" s="2" t="s">
        <v>1214</v>
      </c>
      <c r="V94" s="298" t="s">
        <v>1220</v>
      </c>
      <c r="W94" s="184" t="s">
        <v>395</v>
      </c>
      <c r="X94" s="37" t="s">
        <v>1224</v>
      </c>
      <c r="Y94" s="26" t="s">
        <v>391</v>
      </c>
      <c r="Z94" s="26" t="s">
        <v>392</v>
      </c>
      <c r="AA94" s="13"/>
      <c r="AB94" s="264"/>
      <c r="AC94" s="2" t="s">
        <v>386</v>
      </c>
      <c r="AD94" s="2"/>
    </row>
    <row r="95" spans="1:30" ht="15" customHeight="1" x14ac:dyDescent="0.45">
      <c r="A95" s="289" t="s">
        <v>1513</v>
      </c>
      <c r="B95" s="334" t="s">
        <v>1120</v>
      </c>
      <c r="C95" s="147" t="s">
        <v>239</v>
      </c>
      <c r="D95" s="148" t="str">
        <f>CONCATENATE(ROW(A76))</f>
        <v>76</v>
      </c>
      <c r="E95" s="148"/>
      <c r="F95" s="13" t="s">
        <v>54</v>
      </c>
      <c r="G95" s="153"/>
      <c r="H95" s="155"/>
      <c r="I95" s="245"/>
      <c r="J95" s="177"/>
      <c r="K95" s="41"/>
      <c r="L95" s="14" t="s">
        <v>54</v>
      </c>
      <c r="M95" s="41" t="s">
        <v>54</v>
      </c>
      <c r="N95" s="41" t="s">
        <v>54</v>
      </c>
      <c r="O95" s="41"/>
      <c r="P95" s="41"/>
      <c r="Q95" s="13"/>
      <c r="R95" s="13"/>
      <c r="S95" s="2" t="s">
        <v>289</v>
      </c>
      <c r="T95" s="2" t="str">
        <f>IF(Config!$B$2='Data Validations'!$E$2,Text!B95,IF(Config!$B$2='Data Validations'!$E$3,Text!C95,"Select a lanaguage in config"))</f>
        <v>Enables easy app discovery, deployment, and updating using a securely hosted app catalog of prepackaged apps.</v>
      </c>
      <c r="U95" s="2" t="s">
        <v>1213</v>
      </c>
      <c r="V95" s="298" t="s">
        <v>1220</v>
      </c>
      <c r="W95" s="184" t="s">
        <v>395</v>
      </c>
      <c r="X95" s="37" t="s">
        <v>1224</v>
      </c>
      <c r="Y95" s="26" t="s">
        <v>391</v>
      </c>
      <c r="Z95" s="26" t="s">
        <v>392</v>
      </c>
      <c r="AA95" s="13"/>
      <c r="AB95" s="264"/>
      <c r="AC95" s="2" t="s">
        <v>386</v>
      </c>
      <c r="AD95" s="2"/>
    </row>
    <row r="96" spans="1:30" ht="15" customHeight="1" x14ac:dyDescent="0.45">
      <c r="A96" s="289" t="s">
        <v>1209</v>
      </c>
      <c r="B96" s="334" t="s">
        <v>1120</v>
      </c>
      <c r="C96" s="147" t="s">
        <v>239</v>
      </c>
      <c r="D96" s="148" t="str">
        <f>CONCATENATE(ROW(A76))</f>
        <v>76</v>
      </c>
      <c r="E96" s="148"/>
      <c r="F96" s="13" t="s">
        <v>54</v>
      </c>
      <c r="G96" s="153"/>
      <c r="H96" s="155"/>
      <c r="I96" s="245"/>
      <c r="J96" s="177"/>
      <c r="K96" s="41"/>
      <c r="L96" s="41" t="s">
        <v>54</v>
      </c>
      <c r="M96" s="41" t="s">
        <v>54</v>
      </c>
      <c r="N96" s="41" t="s">
        <v>54</v>
      </c>
      <c r="O96" s="41"/>
      <c r="P96" s="41"/>
      <c r="Q96" s="13"/>
      <c r="R96" s="13"/>
      <c r="S96" s="62" t="s">
        <v>305</v>
      </c>
      <c r="T96" s="2" t="str">
        <f>IF(Config!$B$2='Data Validations'!$E$2,Text!B96,IF(Config!$B$2='Data Validations'!$E$3,Text!C96,"Select a lanaguage in config"))</f>
        <v>Streamline certificate lifecycle management: Manage certificates where you manage your endpoints.</v>
      </c>
      <c r="U96" s="2" t="s">
        <v>1215</v>
      </c>
      <c r="V96" s="298" t="s">
        <v>1220</v>
      </c>
      <c r="W96" s="10" t="s">
        <v>410</v>
      </c>
      <c r="X96" s="37" t="s">
        <v>1250</v>
      </c>
      <c r="Y96" s="26" t="s">
        <v>391</v>
      </c>
      <c r="Z96" s="26" t="s">
        <v>392</v>
      </c>
      <c r="AA96" s="13"/>
      <c r="AB96" s="264"/>
      <c r="AC96" s="2" t="s">
        <v>386</v>
      </c>
      <c r="AD96" s="2"/>
    </row>
    <row r="97" spans="1:30" ht="15" customHeight="1" x14ac:dyDescent="0.45">
      <c r="A97" s="305" t="s">
        <v>412</v>
      </c>
      <c r="B97" s="13" t="s">
        <v>259</v>
      </c>
      <c r="C97" s="13" t="s">
        <v>259</v>
      </c>
      <c r="D97" s="13" t="s">
        <v>259</v>
      </c>
      <c r="E97" s="13" t="s">
        <v>259</v>
      </c>
      <c r="F97" s="13" t="s">
        <v>259</v>
      </c>
      <c r="G97" s="151" t="s">
        <v>259</v>
      </c>
      <c r="H97" s="152" t="s">
        <v>259</v>
      </c>
      <c r="I97" s="244" t="s">
        <v>259</v>
      </c>
      <c r="J97" s="175" t="s">
        <v>259</v>
      </c>
      <c r="K97" s="259" t="s">
        <v>259</v>
      </c>
      <c r="L97" s="152" t="s">
        <v>259</v>
      </c>
      <c r="M97" s="152" t="s">
        <v>259</v>
      </c>
      <c r="N97" s="152" t="s">
        <v>259</v>
      </c>
      <c r="O97" s="13" t="s">
        <v>259</v>
      </c>
      <c r="P97" s="13" t="s">
        <v>259</v>
      </c>
      <c r="Q97" s="13" t="s">
        <v>259</v>
      </c>
      <c r="R97" s="13" t="s">
        <v>259</v>
      </c>
      <c r="S97" s="13" t="s">
        <v>259</v>
      </c>
      <c r="T97" s="2" t="str">
        <f>IF(Config!$B$2='Data Validations'!$E$2,Text!B97,IF(Config!$B$2='Data Validations'!$E$3,Text!C97,"Select a lanaguage in config"))</f>
        <v>_</v>
      </c>
      <c r="U97" s="13" t="s">
        <v>259</v>
      </c>
      <c r="V97" s="13" t="s">
        <v>259</v>
      </c>
      <c r="W97" s="13" t="s">
        <v>259</v>
      </c>
      <c r="X97" s="13" t="s">
        <v>259</v>
      </c>
      <c r="Y97" s="13" t="s">
        <v>259</v>
      </c>
      <c r="Z97" s="13" t="s">
        <v>259</v>
      </c>
      <c r="AA97" s="13" t="s">
        <v>259</v>
      </c>
      <c r="AB97" s="61" t="s">
        <v>250</v>
      </c>
      <c r="AC97" s="2" t="s">
        <v>386</v>
      </c>
      <c r="AD97" s="2"/>
    </row>
    <row r="98" spans="1:30" ht="15" customHeight="1" x14ac:dyDescent="0.45">
      <c r="A98" s="289" t="s">
        <v>413</v>
      </c>
      <c r="B98" s="1" t="s">
        <v>231</v>
      </c>
      <c r="C98" s="1" t="s">
        <v>232</v>
      </c>
      <c r="D98" s="5"/>
      <c r="E98" s="5"/>
      <c r="F98" s="13" t="s">
        <v>54</v>
      </c>
      <c r="G98" s="156"/>
      <c r="H98" s="154"/>
      <c r="I98" s="246"/>
      <c r="J98" s="177"/>
      <c r="K98" s="41"/>
      <c r="L98" s="14" t="s">
        <v>54</v>
      </c>
      <c r="M98" s="14" t="s">
        <v>54</v>
      </c>
      <c r="N98" s="14" t="s">
        <v>54</v>
      </c>
      <c r="O98" s="14"/>
      <c r="P98" s="14"/>
      <c r="Q98" s="2"/>
      <c r="R98" s="2"/>
      <c r="S98" s="2" t="s">
        <v>233</v>
      </c>
      <c r="T98" s="2" t="str">
        <f>IF(Config!$B$2='Data Validations'!$E$2,Text!B98,IF(Config!$B$2='Data Validations'!$E$3,Text!C98,"Select a lanaguage in config"))</f>
        <v>Upgrading to latest builds of ConfigMgr not only provides the latest functionality and compatibility but also open ups the option of co-management</v>
      </c>
      <c r="U98" s="2" t="s">
        <v>1216</v>
      </c>
      <c r="V98" s="2" t="s">
        <v>249</v>
      </c>
      <c r="W98" s="10" t="s">
        <v>414</v>
      </c>
      <c r="X98" s="26" t="s">
        <v>1097</v>
      </c>
      <c r="Y98" s="26" t="s">
        <v>391</v>
      </c>
      <c r="Z98" s="26" t="s">
        <v>415</v>
      </c>
      <c r="AA98" s="2" t="s">
        <v>238</v>
      </c>
      <c r="AB98" s="264"/>
      <c r="AC98" s="2" t="s">
        <v>386</v>
      </c>
      <c r="AD98" s="2"/>
    </row>
    <row r="99" spans="1:30" ht="15" customHeight="1" x14ac:dyDescent="0.45">
      <c r="A99" s="289" t="s">
        <v>416</v>
      </c>
      <c r="B99" s="1" t="s">
        <v>231</v>
      </c>
      <c r="C99" s="1" t="s">
        <v>246</v>
      </c>
      <c r="D99" s="6" t="str">
        <f>CONCATENATE(ROW(A79))</f>
        <v>79</v>
      </c>
      <c r="E99" s="6"/>
      <c r="F99" s="13" t="s">
        <v>54</v>
      </c>
      <c r="G99" s="153"/>
      <c r="H99" s="155"/>
      <c r="I99" s="245"/>
      <c r="J99" s="177"/>
      <c r="K99" s="41"/>
      <c r="L99" s="14" t="s">
        <v>54</v>
      </c>
      <c r="M99" s="14" t="s">
        <v>54</v>
      </c>
      <c r="N99" s="14" t="s">
        <v>54</v>
      </c>
      <c r="O99" s="14"/>
      <c r="P99" s="14"/>
      <c r="Q99" s="2"/>
      <c r="R99" s="2"/>
      <c r="S99" s="2" t="s">
        <v>233</v>
      </c>
      <c r="T99" s="2" t="str">
        <f>IF(Config!$B$2='Data Validations'!$E$2,Text!B99,IF(Config!$B$2='Data Validations'!$E$3,Text!C99,"Select a lanaguage in config"))</f>
        <v>A Cloud management gateway is effectively a cloud based distribution point allowing ConfigMgr managed devices to receive configuration, apps and updates without the need to VPN into your on-premises environment. This can reduce your surface area of attack whilst allowing for management of devices off network</v>
      </c>
      <c r="U99" s="2" t="s">
        <v>1216</v>
      </c>
      <c r="V99" s="120" t="s">
        <v>417</v>
      </c>
      <c r="W99" s="10" t="s">
        <v>418</v>
      </c>
      <c r="X99" s="26" t="s">
        <v>1097</v>
      </c>
      <c r="Y99" s="26" t="s">
        <v>408</v>
      </c>
      <c r="Z99" s="26" t="s">
        <v>415</v>
      </c>
      <c r="AA99" s="2" t="s">
        <v>238</v>
      </c>
      <c r="AB99" s="264"/>
      <c r="AC99" s="2" t="s">
        <v>386</v>
      </c>
      <c r="AD99" s="2"/>
    </row>
    <row r="100" spans="1:30" ht="15" customHeight="1" x14ac:dyDescent="0.45">
      <c r="A100" s="289" t="s">
        <v>419</v>
      </c>
      <c r="B100" s="1" t="s">
        <v>231</v>
      </c>
      <c r="C100" s="1" t="s">
        <v>232</v>
      </c>
      <c r="D100" s="6" t="str">
        <f>CONCATENATE(ROW(A76),",",ROW(A98))</f>
        <v>76,98</v>
      </c>
      <c r="E100" s="6"/>
      <c r="F100" s="13" t="s">
        <v>54</v>
      </c>
      <c r="G100" s="158"/>
      <c r="H100" s="155"/>
      <c r="I100" s="245"/>
      <c r="J100" s="177"/>
      <c r="K100" s="41"/>
      <c r="L100" s="14" t="s">
        <v>54</v>
      </c>
      <c r="M100" s="14" t="s">
        <v>54</v>
      </c>
      <c r="N100" s="14" t="s">
        <v>54</v>
      </c>
      <c r="O100" s="14"/>
      <c r="P100" s="14"/>
      <c r="Q100" s="2"/>
      <c r="R100" s="2"/>
      <c r="S100" s="2" t="s">
        <v>261</v>
      </c>
      <c r="T100" s="2" t="str">
        <f>IF(Config!$B$2='Data Validations'!$E$2,Text!B100,IF(Config!$B$2='Data Validations'!$E$3,Text!C100,"Select a lanaguage in config"))</f>
        <v>Co-management effectively splits what tasks can be managed via the cloud and what can be managed on-premises. This allows an organization to get the best of both worlds and eases the transition to modern management</v>
      </c>
      <c r="U100" s="2" t="s">
        <v>1216</v>
      </c>
      <c r="V100" s="2" t="s">
        <v>249</v>
      </c>
      <c r="W100" s="10" t="s">
        <v>414</v>
      </c>
      <c r="X100" s="26" t="s">
        <v>1097</v>
      </c>
      <c r="Y100" s="26" t="s">
        <v>408</v>
      </c>
      <c r="Z100" s="26" t="s">
        <v>392</v>
      </c>
      <c r="AA100" s="2" t="s">
        <v>238</v>
      </c>
      <c r="AB100" s="264"/>
      <c r="AC100" s="2" t="s">
        <v>386</v>
      </c>
      <c r="AD100" s="2"/>
    </row>
    <row r="101" spans="1:30" ht="15" customHeight="1" x14ac:dyDescent="0.45">
      <c r="A101" s="289" t="s">
        <v>420</v>
      </c>
      <c r="B101" s="1" t="s">
        <v>231</v>
      </c>
      <c r="C101" s="1" t="s">
        <v>296</v>
      </c>
      <c r="D101" s="6" t="str">
        <f>CONCATENATE(ROW(A100))</f>
        <v>100</v>
      </c>
      <c r="E101" s="6"/>
      <c r="F101" s="13" t="s">
        <v>54</v>
      </c>
      <c r="G101" s="156"/>
      <c r="H101" s="157"/>
      <c r="I101" s="247"/>
      <c r="J101" s="177"/>
      <c r="K101" s="41"/>
      <c r="L101" s="14" t="s">
        <v>54</v>
      </c>
      <c r="M101" s="14" t="s">
        <v>54</v>
      </c>
      <c r="N101" s="14" t="s">
        <v>54</v>
      </c>
      <c r="O101" s="14"/>
      <c r="P101" s="14"/>
      <c r="Q101" s="2"/>
      <c r="R101" s="2"/>
      <c r="S101" s="2" t="s">
        <v>261</v>
      </c>
      <c r="T101" s="2" t="str">
        <f>IF(Config!$B$2='Data Validations'!$E$2,Text!B101,IF(Config!$B$2='Data Validations'!$E$3,Text!C101,"Select a lanaguage in config"))</f>
        <v>Migrating apps to Microsoft Endpoint Manager can reduce your ConfigMgr footprint on-premises whilst still be able to effectively manage devices wherever they are. There can be significant cost savings in reducing ConfigMgr infrastructure, be that Server infrastructure, SQL infrastructure, backups and DR and all the management overhead that goes with them.</v>
      </c>
      <c r="U101" s="2" t="s">
        <v>1213</v>
      </c>
      <c r="V101" s="298" t="s">
        <v>1220</v>
      </c>
      <c r="W101" s="10" t="s">
        <v>395</v>
      </c>
      <c r="X101" s="37" t="s">
        <v>1223</v>
      </c>
      <c r="Y101" s="26" t="s">
        <v>408</v>
      </c>
      <c r="Z101" s="26" t="s">
        <v>256</v>
      </c>
      <c r="AA101" s="2" t="s">
        <v>238</v>
      </c>
      <c r="AB101" s="264"/>
      <c r="AC101" s="2" t="s">
        <v>386</v>
      </c>
      <c r="AD101" s="2"/>
    </row>
    <row r="102" spans="1:30" ht="15" customHeight="1" x14ac:dyDescent="0.45">
      <c r="A102" s="305" t="s">
        <v>380</v>
      </c>
      <c r="B102" s="13" t="s">
        <v>259</v>
      </c>
      <c r="C102" s="13" t="s">
        <v>259</v>
      </c>
      <c r="D102" s="13" t="s">
        <v>259</v>
      </c>
      <c r="E102" s="13" t="s">
        <v>259</v>
      </c>
      <c r="F102" s="13" t="s">
        <v>259</v>
      </c>
      <c r="G102" s="151" t="s">
        <v>259</v>
      </c>
      <c r="H102" s="152" t="s">
        <v>259</v>
      </c>
      <c r="I102" s="244" t="s">
        <v>259</v>
      </c>
      <c r="J102" s="175" t="s">
        <v>259</v>
      </c>
      <c r="K102" s="259" t="s">
        <v>259</v>
      </c>
      <c r="L102" s="152" t="s">
        <v>259</v>
      </c>
      <c r="M102" s="152" t="s">
        <v>259</v>
      </c>
      <c r="N102" s="152" t="s">
        <v>259</v>
      </c>
      <c r="O102" s="13" t="s">
        <v>259</v>
      </c>
      <c r="P102" s="13" t="s">
        <v>259</v>
      </c>
      <c r="Q102" s="13" t="s">
        <v>259</v>
      </c>
      <c r="R102" s="13" t="s">
        <v>259</v>
      </c>
      <c r="S102" s="13" t="s">
        <v>259</v>
      </c>
      <c r="T102" s="2" t="str">
        <f>IF(Config!$B$2='Data Validations'!$E$2,Text!B102,IF(Config!$B$2='Data Validations'!$E$3,Text!C102,"Select a lanaguage in config"))</f>
        <v>_</v>
      </c>
      <c r="U102" s="13" t="s">
        <v>259</v>
      </c>
      <c r="V102" s="13" t="s">
        <v>259</v>
      </c>
      <c r="W102" s="13" t="s">
        <v>259</v>
      </c>
      <c r="X102" s="13" t="s">
        <v>259</v>
      </c>
      <c r="Y102" s="13" t="s">
        <v>259</v>
      </c>
      <c r="Z102" s="13" t="s">
        <v>259</v>
      </c>
      <c r="AA102" s="13" t="s">
        <v>259</v>
      </c>
      <c r="AB102" s="61" t="s">
        <v>328</v>
      </c>
      <c r="AC102" s="2" t="s">
        <v>244</v>
      </c>
      <c r="AD102" s="2"/>
    </row>
    <row r="103" spans="1:30" ht="15" customHeight="1" x14ac:dyDescent="0.45">
      <c r="A103" s="306" t="s">
        <v>421</v>
      </c>
      <c r="B103" s="1" t="s">
        <v>323</v>
      </c>
      <c r="C103" s="1"/>
      <c r="D103" s="5"/>
      <c r="E103" s="5"/>
      <c r="F103" s="13" t="s">
        <v>54</v>
      </c>
      <c r="G103" s="165"/>
      <c r="H103" s="166"/>
      <c r="I103" s="250"/>
      <c r="J103" s="180"/>
      <c r="K103" s="41"/>
      <c r="L103" s="14" t="s">
        <v>54</v>
      </c>
      <c r="M103" s="14" t="s">
        <v>54</v>
      </c>
      <c r="N103" s="14" t="s">
        <v>54</v>
      </c>
      <c r="O103" s="14"/>
      <c r="P103" s="14"/>
      <c r="Q103" s="2"/>
      <c r="R103" s="2"/>
      <c r="S103" s="2" t="s">
        <v>305</v>
      </c>
      <c r="T103" s="2" t="str">
        <f>IF(Config!$B$2='Data Validations'!$E$2,Text!B103,IF(Config!$B$2='Data Validations'!$E$3,Text!C103,"Select a lanaguage in config"))</f>
        <v>Devices, their configuration, state and health attestation are key to a secure and productive environment in line with Zero Trust. Having professional services review your configuration can help ensure you are getting the most from Microsoft Endpoint Manager and operating as efficiently as possible</v>
      </c>
      <c r="U103" s="2" t="s">
        <v>325</v>
      </c>
      <c r="V103" s="2"/>
      <c r="W103" s="2" t="s">
        <v>323</v>
      </c>
      <c r="X103" s="25"/>
      <c r="Y103" s="25" t="s">
        <v>326</v>
      </c>
      <c r="Z103" s="25"/>
      <c r="AA103" s="2" t="s">
        <v>238</v>
      </c>
      <c r="AB103" s="264"/>
      <c r="AC103" s="2" t="s">
        <v>386</v>
      </c>
      <c r="AD103" s="2"/>
    </row>
    <row r="104" spans="1:30" ht="15" customHeight="1" x14ac:dyDescent="0.45">
      <c r="A104" s="305" t="s">
        <v>422</v>
      </c>
      <c r="B104" s="13" t="s">
        <v>259</v>
      </c>
      <c r="C104" s="2" t="s">
        <v>259</v>
      </c>
      <c r="D104" s="2" t="s">
        <v>259</v>
      </c>
      <c r="E104" s="2" t="s">
        <v>259</v>
      </c>
      <c r="F104" s="2" t="s">
        <v>259</v>
      </c>
      <c r="G104" s="151" t="s">
        <v>259</v>
      </c>
      <c r="H104" s="152" t="s">
        <v>259</v>
      </c>
      <c r="I104" s="244" t="s">
        <v>259</v>
      </c>
      <c r="J104" s="175" t="s">
        <v>259</v>
      </c>
      <c r="K104" s="259" t="s">
        <v>259</v>
      </c>
      <c r="L104" s="152" t="s">
        <v>259</v>
      </c>
      <c r="M104" s="152" t="s">
        <v>259</v>
      </c>
      <c r="N104" s="152" t="s">
        <v>259</v>
      </c>
      <c r="O104" s="2" t="s">
        <v>259</v>
      </c>
      <c r="P104" s="2" t="s">
        <v>259</v>
      </c>
      <c r="Q104" s="2" t="s">
        <v>259</v>
      </c>
      <c r="R104" s="2" t="s">
        <v>259</v>
      </c>
      <c r="S104" s="2" t="s">
        <v>259</v>
      </c>
      <c r="T104" s="2" t="str">
        <f>IF(Config!$B$2='Data Validations'!$E$2,Text!B104,IF(Config!$B$2='Data Validations'!$E$3,Text!C104,"Select a lanaguage in config"))</f>
        <v>_</v>
      </c>
      <c r="U104" s="2" t="s">
        <v>259</v>
      </c>
      <c r="V104" s="2" t="s">
        <v>259</v>
      </c>
      <c r="W104" s="2" t="s">
        <v>259</v>
      </c>
      <c r="X104" s="2" t="s">
        <v>259</v>
      </c>
      <c r="Y104" s="2" t="s">
        <v>259</v>
      </c>
      <c r="Z104" s="2" t="s">
        <v>259</v>
      </c>
      <c r="AA104" s="2" t="s">
        <v>259</v>
      </c>
      <c r="AB104" s="61" t="s">
        <v>423</v>
      </c>
      <c r="AC104" s="2" t="s">
        <v>424</v>
      </c>
      <c r="AD104" s="2"/>
    </row>
    <row r="105" spans="1:30" ht="15" customHeight="1" x14ac:dyDescent="0.45">
      <c r="A105" s="289" t="s">
        <v>169</v>
      </c>
      <c r="B105" s="1" t="s">
        <v>231</v>
      </c>
      <c r="C105" s="1" t="s">
        <v>239</v>
      </c>
      <c r="D105" s="6" t="str">
        <f>CONCATENATE(ROW(A4),",",ROW(A76),",",ROW(A98),",",ROW(A109))</f>
        <v>4,76,98,109</v>
      </c>
      <c r="E105" s="6"/>
      <c r="F105" s="13" t="s">
        <v>54</v>
      </c>
      <c r="G105" s="156"/>
      <c r="H105" s="157"/>
      <c r="I105" s="247"/>
      <c r="J105" s="178"/>
      <c r="K105" s="41"/>
      <c r="L105" s="14" t="s">
        <v>54</v>
      </c>
      <c r="M105" s="14" t="s">
        <v>54</v>
      </c>
      <c r="N105" s="14" t="s">
        <v>54</v>
      </c>
      <c r="O105" s="14"/>
      <c r="P105" s="14"/>
      <c r="Q105" s="2"/>
      <c r="R105" s="2"/>
      <c r="S105" s="2" t="s">
        <v>289</v>
      </c>
      <c r="T105" s="2" t="str">
        <f>IF(Config!$B$2='Data Validations'!$E$2,Text!B105,IF(Config!$B$2='Data Validations'!$E$3,Text!C105,"Select a lanaguage in config"))</f>
        <v>Windows 10 and onwards provides the most feature rich and most secure operating systems. It natively supports the latest security features as they are built into the Operating System, such as Defender for Endpoints. Migrating to Windows 10 will also give you latest support, such as Autopilot and modern management. Moving away from legacy operating systems (Windows 8.1 and below) should improve operational efficiencies in end user compute as well as improve productivity with the end users</v>
      </c>
      <c r="U105" s="13" t="s">
        <v>406</v>
      </c>
      <c r="V105" s="298" t="s">
        <v>1220</v>
      </c>
      <c r="W105" s="2" t="s">
        <v>235</v>
      </c>
      <c r="X105" s="26" t="s">
        <v>1097</v>
      </c>
      <c r="Y105" s="26" t="s">
        <v>425</v>
      </c>
      <c r="Z105" s="26" t="s">
        <v>392</v>
      </c>
      <c r="AA105" s="2" t="s">
        <v>238</v>
      </c>
      <c r="AB105" s="264"/>
      <c r="AC105" s="2"/>
      <c r="AD105" s="1"/>
    </row>
    <row r="106" spans="1:30" ht="15" customHeight="1" x14ac:dyDescent="0.45">
      <c r="A106" s="289" t="s">
        <v>427</v>
      </c>
      <c r="B106" s="2" t="s">
        <v>231</v>
      </c>
      <c r="C106" s="2" t="s">
        <v>296</v>
      </c>
      <c r="D106" s="5" t="str">
        <f>CONCATENATE(ROW(A105))</f>
        <v>105</v>
      </c>
      <c r="E106" s="5" t="s">
        <v>247</v>
      </c>
      <c r="F106" s="13" t="s">
        <v>54</v>
      </c>
      <c r="G106" s="168"/>
      <c r="H106" s="169"/>
      <c r="I106" s="251"/>
      <c r="J106" s="181"/>
      <c r="L106" s="14" t="s">
        <v>54</v>
      </c>
      <c r="M106" s="14" t="s">
        <v>54</v>
      </c>
      <c r="N106" s="14" t="s">
        <v>54</v>
      </c>
      <c r="O106" s="14"/>
      <c r="P106" s="14"/>
      <c r="Q106" s="2"/>
      <c r="R106" s="2"/>
      <c r="S106" s="2" t="s">
        <v>289</v>
      </c>
      <c r="T106" s="2" t="str">
        <f>IF(Config!$B$2='Data Validations'!$E$2,Text!B106,IF(Config!$B$2='Data Validations'!$E$3,Text!C106,"Select a lanaguage in config"))</f>
        <v>Windows Update for Business can improve operational efficiencies by breaking updates into rings of deployment, with internal rings covering most of your estates device types and apps via the least number of users. This also means you can control Windows updates as has been done with WSUS and ConfigMgr but without having to hairpin traffic through a VPN (adding load to the VPN and negatively impacting performance). This is also a requirement for Autopatch</v>
      </c>
      <c r="U106" s="2" t="s">
        <v>1215</v>
      </c>
      <c r="V106" s="298" t="s">
        <v>1220</v>
      </c>
      <c r="W106" s="10" t="s">
        <v>428</v>
      </c>
      <c r="X106" s="37" t="s">
        <v>1223</v>
      </c>
      <c r="Y106" s="26" t="s">
        <v>429</v>
      </c>
      <c r="Z106" s="26" t="s">
        <v>384</v>
      </c>
      <c r="AA106" s="2" t="s">
        <v>238</v>
      </c>
      <c r="AB106" s="264"/>
      <c r="AC106" s="2"/>
      <c r="AD106" s="2"/>
    </row>
    <row r="107" spans="1:30" ht="15" customHeight="1" x14ac:dyDescent="0.45">
      <c r="A107" s="289" t="s">
        <v>430</v>
      </c>
      <c r="B107" s="2" t="s">
        <v>252</v>
      </c>
      <c r="C107" s="2" t="s">
        <v>351</v>
      </c>
      <c r="D107" s="5" t="str">
        <f>CONCATENATE(ROW(A106))</f>
        <v>106</v>
      </c>
      <c r="E107" s="5"/>
      <c r="F107" s="13" t="s">
        <v>54</v>
      </c>
      <c r="G107" s="168"/>
      <c r="H107" s="169"/>
      <c r="I107" s="251"/>
      <c r="J107" s="181"/>
      <c r="L107" s="14" t="s">
        <v>54</v>
      </c>
      <c r="M107" s="14" t="s">
        <v>54</v>
      </c>
      <c r="N107" s="14" t="s">
        <v>54</v>
      </c>
      <c r="O107" s="14"/>
      <c r="P107" s="14"/>
      <c r="Q107" s="2"/>
      <c r="R107" s="2"/>
      <c r="S107" s="2" t="s">
        <v>305</v>
      </c>
      <c r="T107" s="2" t="str">
        <f>IF(Config!$B$2='Data Validations'!$E$2,Text!B107,IF(Config!$B$2='Data Validations'!$E$3,Text!C107,"Select a lanaguage in config"))</f>
        <v>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organization stay more secure and up to date with minimal effort. This service works inline with Desktop App Assure, giving assurance Windows Updates will not break applications and processes.</v>
      </c>
      <c r="U107" s="2" t="s">
        <v>1215</v>
      </c>
      <c r="V107" s="298" t="s">
        <v>1220</v>
      </c>
      <c r="W107" s="2" t="s">
        <v>323</v>
      </c>
      <c r="X107" s="26" t="s">
        <v>281</v>
      </c>
      <c r="Y107" s="26" t="s">
        <v>429</v>
      </c>
      <c r="Z107" s="26" t="s">
        <v>384</v>
      </c>
      <c r="AA107" s="2" t="s">
        <v>431</v>
      </c>
      <c r="AB107" s="264"/>
      <c r="AC107" s="2"/>
      <c r="AD107" s="2"/>
    </row>
    <row r="108" spans="1:30" ht="15" customHeight="1" x14ac:dyDescent="0.45">
      <c r="A108" s="285" t="s">
        <v>432</v>
      </c>
      <c r="B108" s="2" t="s">
        <v>231</v>
      </c>
      <c r="C108" s="2" t="s">
        <v>351</v>
      </c>
      <c r="D108" s="5"/>
      <c r="E108" s="5"/>
      <c r="F108" s="13" t="s">
        <v>54</v>
      </c>
      <c r="G108" s="168"/>
      <c r="H108" s="169"/>
      <c r="I108" s="251"/>
      <c r="J108" s="181"/>
      <c r="K108" s="41"/>
      <c r="L108" s="14" t="s">
        <v>54</v>
      </c>
      <c r="M108" s="14" t="s">
        <v>54</v>
      </c>
      <c r="N108" s="14" t="s">
        <v>54</v>
      </c>
      <c r="O108" s="14"/>
      <c r="P108" s="14"/>
      <c r="Q108" s="2"/>
      <c r="R108" s="2"/>
      <c r="S108" s="2" t="s">
        <v>233</v>
      </c>
      <c r="T108" s="2" t="str">
        <f>IF(Config!$B$2='Data Validations'!$E$2,Text!B108,IF(Config!$B$2='Data Validations'!$E$3,Text!C108,"Select a lanaguage in config"))</f>
        <v>Desktop App Assure is a FastTrack service (no additional cost) that will work your teams, application vendors and the Windows teams to get any app working should a Windows Update break functionality of an application. This should remove concerns of staying evergreen in Windows and Office (and therefore reduce vulnerabilities and risk in your environment)</v>
      </c>
      <c r="U108" s="2" t="s">
        <v>1213</v>
      </c>
      <c r="V108" s="2"/>
      <c r="W108" s="10" t="s">
        <v>395</v>
      </c>
      <c r="X108" s="36" t="s">
        <v>1226</v>
      </c>
      <c r="Y108" s="27" t="s">
        <v>429</v>
      </c>
      <c r="Z108" s="27" t="s">
        <v>256</v>
      </c>
      <c r="AA108" s="2" t="s">
        <v>238</v>
      </c>
      <c r="AB108" s="264"/>
      <c r="AC108" s="2"/>
      <c r="AD108" s="2"/>
    </row>
    <row r="109" spans="1:30" ht="15" customHeight="1" x14ac:dyDescent="0.45">
      <c r="A109" s="289" t="s">
        <v>433</v>
      </c>
      <c r="B109" s="1" t="s">
        <v>231</v>
      </c>
      <c r="C109" s="1" t="s">
        <v>246</v>
      </c>
      <c r="D109" s="5" t="str">
        <f>CONCATENATE(ROW(A86),",",ROW(A79))</f>
        <v>86,79</v>
      </c>
      <c r="E109" s="5"/>
      <c r="F109" s="13" t="s">
        <v>54</v>
      </c>
      <c r="G109" s="156"/>
      <c r="H109" s="157"/>
      <c r="I109" s="245"/>
      <c r="J109" s="176"/>
      <c r="K109" s="41"/>
      <c r="L109" s="14" t="s">
        <v>54</v>
      </c>
      <c r="M109" s="14" t="s">
        <v>54</v>
      </c>
      <c r="N109" s="14" t="s">
        <v>54</v>
      </c>
      <c r="O109" s="14"/>
      <c r="P109" s="14"/>
      <c r="Q109" s="2"/>
      <c r="R109" s="2"/>
      <c r="S109" s="2" t="s">
        <v>261</v>
      </c>
      <c r="T109" s="2" t="str">
        <f>IF(Config!$B$2='Data Validations'!$E$2,Text!B109,IF(Config!$B$2='Data Validations'!$E$3,Text!C109,"Select a lanaguage in config"))</f>
        <v>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organizations configuration. This also means devices can be "reimaged" remotely, wiped back down the bare Windows installation (with drivers) and built back to your organization image without ever being physically touch by admins. This can create cost savings in logistics, man hours and all the infrastructure to support the wipe and reload process</v>
      </c>
      <c r="U109" s="13" t="s">
        <v>406</v>
      </c>
      <c r="V109" s="298" t="s">
        <v>1220</v>
      </c>
      <c r="W109" s="10" t="s">
        <v>395</v>
      </c>
      <c r="X109" s="26" t="s">
        <v>1244</v>
      </c>
      <c r="Y109" s="26" t="s">
        <v>408</v>
      </c>
      <c r="Z109" s="26" t="s">
        <v>392</v>
      </c>
      <c r="AA109" s="2" t="s">
        <v>238</v>
      </c>
      <c r="AB109" s="264"/>
      <c r="AC109" s="2" t="s">
        <v>386</v>
      </c>
      <c r="AD109" s="2"/>
    </row>
    <row r="110" spans="1:30" ht="15" customHeight="1" x14ac:dyDescent="0.45">
      <c r="A110" s="307" t="s">
        <v>434</v>
      </c>
      <c r="B110" s="13" t="s">
        <v>259</v>
      </c>
      <c r="C110" s="13" t="s">
        <v>259</v>
      </c>
      <c r="D110" s="13" t="s">
        <v>259</v>
      </c>
      <c r="E110" s="13" t="s">
        <v>259</v>
      </c>
      <c r="F110" s="13" t="s">
        <v>259</v>
      </c>
      <c r="G110" s="151" t="s">
        <v>259</v>
      </c>
      <c r="H110" s="152" t="s">
        <v>259</v>
      </c>
      <c r="I110" s="244" t="s">
        <v>259</v>
      </c>
      <c r="J110" s="175" t="s">
        <v>259</v>
      </c>
      <c r="K110" s="259" t="s">
        <v>259</v>
      </c>
      <c r="L110" s="152" t="s">
        <v>259</v>
      </c>
      <c r="M110" s="152" t="s">
        <v>259</v>
      </c>
      <c r="N110" s="152" t="s">
        <v>259</v>
      </c>
      <c r="O110" s="13" t="s">
        <v>259</v>
      </c>
      <c r="P110" s="13" t="s">
        <v>259</v>
      </c>
      <c r="Q110" s="13" t="s">
        <v>259</v>
      </c>
      <c r="R110" s="13" t="s">
        <v>259</v>
      </c>
      <c r="S110" s="13" t="s">
        <v>259</v>
      </c>
      <c r="T110" s="2" t="str">
        <f>IF(Config!$B$2='Data Validations'!$E$2,Text!B110,IF(Config!$B$2='Data Validations'!$E$3,Text!C110,"Select a lanaguage in config"))</f>
        <v>_</v>
      </c>
      <c r="U110" s="13" t="s">
        <v>259</v>
      </c>
      <c r="V110" s="13" t="s">
        <v>259</v>
      </c>
      <c r="W110" s="13" t="s">
        <v>259</v>
      </c>
      <c r="X110" s="13" t="s">
        <v>259</v>
      </c>
      <c r="Y110" s="13" t="s">
        <v>259</v>
      </c>
      <c r="Z110" s="13" t="s">
        <v>259</v>
      </c>
      <c r="AA110" s="13" t="s">
        <v>259</v>
      </c>
      <c r="AB110" s="61" t="s">
        <v>423</v>
      </c>
      <c r="AC110" s="2" t="s">
        <v>424</v>
      </c>
      <c r="AD110" s="2"/>
    </row>
    <row r="111" spans="1:30" ht="15" customHeight="1" x14ac:dyDescent="0.45">
      <c r="A111" s="297" t="s">
        <v>435</v>
      </c>
      <c r="B111" s="1" t="s">
        <v>231</v>
      </c>
      <c r="C111" s="13" t="s">
        <v>246</v>
      </c>
      <c r="D111" s="237" t="str">
        <f>CONCATENATE(ROW(A79),",",ROW(A80),",",ROW(A105))</f>
        <v>79,80,105</v>
      </c>
      <c r="E111" s="13"/>
      <c r="F111" s="13" t="s">
        <v>54</v>
      </c>
      <c r="G111" s="238"/>
      <c r="H111" s="239"/>
      <c r="I111" s="253"/>
      <c r="J111" s="240"/>
      <c r="K111" s="146"/>
      <c r="L111" s="14" t="s">
        <v>54</v>
      </c>
      <c r="M111" s="14" t="s">
        <v>54</v>
      </c>
      <c r="N111" s="14" t="s">
        <v>54</v>
      </c>
      <c r="O111" s="146"/>
      <c r="P111" s="146"/>
      <c r="Q111" s="13"/>
      <c r="R111" s="13"/>
      <c r="S111" s="2" t="s">
        <v>305</v>
      </c>
      <c r="T111" s="2" t="str">
        <f>IF(Config!$B$2='Data Validations'!$E$2,Text!B111,IF(Config!$B$2='Data Validations'!$E$3,Text!C111,"Select a lanaguage in config"))</f>
        <v>Windows Local Administrator Password Solution (Windows LAPS) is a Windows feature that automatically manages and backs up the password of a local administrator account on Microsoft Entra joined or Windows Server Active Directory-joined devices. It is also possible to use Windows LAPS to automatically manage and back up the Directory Services Restore Mode (DSRM) account password on Windows Server Active Directory domain controllers. Windows LAPS is now native to Windows and can be managed from Intune. The use of Windows LAPS can make it very difficult for attacks to move laterally using local administrator password (pass the hash attacks)</v>
      </c>
      <c r="U111" s="2" t="s">
        <v>1215</v>
      </c>
      <c r="V111" s="62"/>
      <c r="W111" s="13"/>
      <c r="X111" s="62"/>
      <c r="Y111" s="13"/>
      <c r="Z111" s="13"/>
      <c r="AA111" s="13"/>
      <c r="AB111" s="61"/>
      <c r="AC111" s="2"/>
      <c r="AD111" s="2"/>
    </row>
    <row r="112" spans="1:30" ht="15" customHeight="1" x14ac:dyDescent="0.45">
      <c r="A112" s="297" t="s">
        <v>436</v>
      </c>
      <c r="B112" s="1" t="s">
        <v>231</v>
      </c>
      <c r="C112" s="1" t="s">
        <v>246</v>
      </c>
      <c r="D112" s="6" t="str">
        <f>CONCATENATE(ROW(A105))</f>
        <v>105</v>
      </c>
      <c r="E112" s="6" t="s">
        <v>247</v>
      </c>
      <c r="F112" s="13" t="s">
        <v>54</v>
      </c>
      <c r="G112" s="153"/>
      <c r="H112" s="155"/>
      <c r="I112" s="247"/>
      <c r="J112" s="176"/>
      <c r="K112" s="41"/>
      <c r="L112" s="14" t="s">
        <v>54</v>
      </c>
      <c r="M112" s="14" t="s">
        <v>54</v>
      </c>
      <c r="N112" s="14" t="s">
        <v>54</v>
      </c>
      <c r="O112" s="14"/>
      <c r="P112" s="14"/>
      <c r="Q112" s="2"/>
      <c r="R112" s="2"/>
      <c r="S112" s="2" t="s">
        <v>289</v>
      </c>
      <c r="T112" s="2" t="str">
        <f>IF(Config!$B$2='Data Validations'!$E$2,Text!B112,IF(Config!$B$2='Data Validations'!$E$3,Text!C112,"Select a lanaguage in config"))</f>
        <v>Can improve the user sign in experience whilst also improving security (as the device becomes the second factor of authentication). This can significantly reduce the number of MFA prompts user receive as well as reducing password usage. This can be seen as path to passwordless</v>
      </c>
      <c r="U112" s="2" t="s">
        <v>1215</v>
      </c>
      <c r="V112" s="298" t="s">
        <v>1220</v>
      </c>
      <c r="W112" s="10" t="s">
        <v>395</v>
      </c>
      <c r="X112" s="37" t="s">
        <v>1223</v>
      </c>
      <c r="Y112" s="26" t="s">
        <v>237</v>
      </c>
      <c r="Z112" s="26" t="s">
        <v>42</v>
      </c>
      <c r="AA112" s="2" t="s">
        <v>238</v>
      </c>
      <c r="AB112" s="264"/>
      <c r="AC112" s="2"/>
      <c r="AD112" s="1" t="s">
        <v>323</v>
      </c>
    </row>
    <row r="113" spans="1:30" ht="15" customHeight="1" x14ac:dyDescent="0.45">
      <c r="A113" s="297" t="s">
        <v>437</v>
      </c>
      <c r="B113" s="1" t="s">
        <v>252</v>
      </c>
      <c r="C113" s="1" t="s">
        <v>239</v>
      </c>
      <c r="D113" s="6" t="str">
        <f>CONCATENATE(ROW(A105))</f>
        <v>105</v>
      </c>
      <c r="E113" s="6" t="s">
        <v>247</v>
      </c>
      <c r="F113" s="13" t="s">
        <v>54</v>
      </c>
      <c r="G113" s="158"/>
      <c r="H113" s="155"/>
      <c r="I113" s="245"/>
      <c r="J113" s="177"/>
      <c r="K113" s="41"/>
      <c r="L113" s="14" t="s">
        <v>54</v>
      </c>
      <c r="M113" s="14" t="s">
        <v>54</v>
      </c>
      <c r="N113" s="14" t="s">
        <v>54</v>
      </c>
      <c r="O113" s="14"/>
      <c r="P113" s="14"/>
      <c r="Q113" s="2"/>
      <c r="R113" s="2"/>
      <c r="S113" s="2" t="s">
        <v>305</v>
      </c>
      <c r="T113" s="2" t="str">
        <f>IF(Config!$B$2='Data Validations'!$E$2,Text!B113,IF(Config!$B$2='Data Validations'!$E$3,Text!C113,"Select a lanaguage in config"))</f>
        <v>Microsoft Defender AV is currently rated as one of the top AV solutions. Defender for Endpoints P1 is included in E3, one the most commonly used enterprise license and brings central control, reporting and response. These additional features make Defender for Endpoints a very viable and cheap (already included in license) replacement of third party AV solutions</v>
      </c>
      <c r="U113" s="2" t="s">
        <v>1215</v>
      </c>
      <c r="V113" s="122" t="s">
        <v>312</v>
      </c>
      <c r="W113" s="10" t="s">
        <v>438</v>
      </c>
      <c r="X113" s="37" t="s">
        <v>1223</v>
      </c>
      <c r="Y113" s="26" t="s">
        <v>439</v>
      </c>
      <c r="Z113" s="26" t="s">
        <v>384</v>
      </c>
      <c r="AA113" s="2" t="s">
        <v>238</v>
      </c>
      <c r="AB113" s="61" t="s">
        <v>388</v>
      </c>
      <c r="AC113" s="2" t="s">
        <v>386</v>
      </c>
      <c r="AD113" s="1" t="s">
        <v>323</v>
      </c>
    </row>
    <row r="114" spans="1:30" ht="15" customHeight="1" x14ac:dyDescent="0.45">
      <c r="A114" s="297" t="s">
        <v>172</v>
      </c>
      <c r="B114" s="1" t="s">
        <v>231</v>
      </c>
      <c r="C114" s="1" t="s">
        <v>246</v>
      </c>
      <c r="D114" s="6" t="str">
        <f>CONCATENATE(ROW(A105))</f>
        <v>105</v>
      </c>
      <c r="E114" s="6"/>
      <c r="F114" s="13" t="s">
        <v>54</v>
      </c>
      <c r="G114" s="156"/>
      <c r="H114" s="155"/>
      <c r="I114" s="245"/>
      <c r="J114" s="177"/>
      <c r="K114" s="41"/>
      <c r="L114" s="14" t="s">
        <v>54</v>
      </c>
      <c r="M114" s="14" t="s">
        <v>54</v>
      </c>
      <c r="N114" s="14" t="s">
        <v>54</v>
      </c>
      <c r="O114" s="14"/>
      <c r="P114" s="14"/>
      <c r="Q114" s="2"/>
      <c r="R114" s="2"/>
      <c r="S114" s="2" t="s">
        <v>278</v>
      </c>
      <c r="T114" s="2" t="str">
        <f>IF(Config!$B$2='Data Validations'!$E$2,Text!B114,IF(Config!$B$2='Data Validations'!$E$3,Text!C114,"Select a lanaguage in config"))</f>
        <v>Microsoft Defender Credential guard makes attackers lateral movement significantly harder. This can significantly reduce risk and potentially mitigate attacks that use lateral movement (such as ransomware attacks). Included in Windows 10 Enterprise and above</v>
      </c>
      <c r="U114" s="2" t="s">
        <v>1215</v>
      </c>
      <c r="V114" s="298" t="s">
        <v>1220</v>
      </c>
      <c r="W114" s="10" t="s">
        <v>395</v>
      </c>
      <c r="X114" s="37" t="s">
        <v>1223</v>
      </c>
      <c r="Y114" s="26" t="s">
        <v>439</v>
      </c>
      <c r="Z114" s="26" t="s">
        <v>317</v>
      </c>
      <c r="AA114" s="2" t="s">
        <v>238</v>
      </c>
      <c r="AB114" s="264"/>
      <c r="AC114" s="2"/>
      <c r="AD114" s="1" t="s">
        <v>323</v>
      </c>
    </row>
    <row r="115" spans="1:30" ht="15" customHeight="1" x14ac:dyDescent="0.45">
      <c r="A115" s="297" t="s">
        <v>173</v>
      </c>
      <c r="B115" s="1" t="s">
        <v>231</v>
      </c>
      <c r="C115" s="1" t="s">
        <v>246</v>
      </c>
      <c r="D115" s="6" t="str">
        <f>CONCATENATE(ROW(A105))</f>
        <v>105</v>
      </c>
      <c r="E115" s="6"/>
      <c r="F115" s="13" t="s">
        <v>54</v>
      </c>
      <c r="G115" s="156"/>
      <c r="H115" s="155"/>
      <c r="I115" s="245"/>
      <c r="J115" s="177"/>
      <c r="K115" s="41"/>
      <c r="L115" s="14" t="s">
        <v>54</v>
      </c>
      <c r="M115" s="14" t="s">
        <v>54</v>
      </c>
      <c r="N115" s="14" t="s">
        <v>54</v>
      </c>
      <c r="O115" s="14"/>
      <c r="P115" s="14"/>
      <c r="Q115" s="2"/>
      <c r="R115" s="2"/>
      <c r="S115" s="2" t="s">
        <v>278</v>
      </c>
      <c r="T115" s="2" t="str">
        <f>IF(Config!$B$2='Data Validations'!$E$2,Text!B115,IF(Config!$B$2='Data Validations'!$E$3,Text!C115,"Select a lanaguage in config"))</f>
        <v>Reduces risk by blocking attackers using boot-level malware, where an attacker can gain optimum advantage over a device. Effectively, it maintains, and validates, the integrity of the Windows Operating system.</v>
      </c>
      <c r="U115" s="2" t="s">
        <v>1215</v>
      </c>
      <c r="V115" s="298" t="s">
        <v>1220</v>
      </c>
      <c r="W115" s="10" t="s">
        <v>395</v>
      </c>
      <c r="X115" s="37" t="s">
        <v>1223</v>
      </c>
      <c r="Y115" s="26" t="s">
        <v>439</v>
      </c>
      <c r="Z115" s="26" t="s">
        <v>392</v>
      </c>
      <c r="AA115" s="2" t="s">
        <v>238</v>
      </c>
      <c r="AB115" s="264"/>
      <c r="AC115" s="2"/>
      <c r="AD115" s="1" t="s">
        <v>323</v>
      </c>
    </row>
    <row r="116" spans="1:30" ht="15" customHeight="1" x14ac:dyDescent="0.45">
      <c r="A116" s="297" t="s">
        <v>440</v>
      </c>
      <c r="B116" s="1" t="s">
        <v>231</v>
      </c>
      <c r="C116" s="1" t="s">
        <v>246</v>
      </c>
      <c r="D116" s="6" t="str">
        <f>CONCATENATE(ROW(A105))</f>
        <v>105</v>
      </c>
      <c r="E116" s="6"/>
      <c r="F116" s="13" t="s">
        <v>54</v>
      </c>
      <c r="G116" s="156"/>
      <c r="H116" s="154"/>
      <c r="I116" s="245"/>
      <c r="J116" s="177"/>
      <c r="K116" s="41"/>
      <c r="L116" s="14" t="s">
        <v>54</v>
      </c>
      <c r="M116" s="14" t="s">
        <v>54</v>
      </c>
      <c r="N116" s="14" t="s">
        <v>54</v>
      </c>
      <c r="O116" s="14"/>
      <c r="P116" s="14"/>
      <c r="Q116" s="2"/>
      <c r="R116" s="2"/>
      <c r="S116" s="2" t="s">
        <v>305</v>
      </c>
      <c r="T116" s="2" t="str">
        <f>IF(Config!$B$2='Data Validations'!$E$2,Text!B116,IF(Config!$B$2='Data Validations'!$E$3,Text!C116,"Select a lanaguage in config"))</f>
        <v>Attack Surface Reduction rules can block certain processes and activities from acting on a Windows device before any detection or protection controls are required. ASR rules include (but not limited to) blocking macros that call upon non-Office applications or blocking non-whitelisted applications from writing into protected directories (such as ransomware). Effective use of ASR rules can significantly improve your secure posture, potentially wiping out entire classes of threats, which can also reduce noise for Security Analysts</v>
      </c>
      <c r="U116" s="2" t="s">
        <v>1215</v>
      </c>
      <c r="V116" s="298" t="s">
        <v>1220</v>
      </c>
      <c r="W116" s="10" t="s">
        <v>395</v>
      </c>
      <c r="X116" s="37" t="s">
        <v>1223</v>
      </c>
      <c r="Y116" s="26" t="s">
        <v>439</v>
      </c>
      <c r="Z116" s="26" t="s">
        <v>443</v>
      </c>
      <c r="AA116" s="2" t="s">
        <v>238</v>
      </c>
      <c r="AB116" s="264"/>
      <c r="AC116" s="2"/>
      <c r="AD116" s="1" t="s">
        <v>323</v>
      </c>
    </row>
    <row r="117" spans="1:30" ht="15" customHeight="1" x14ac:dyDescent="0.45">
      <c r="A117" s="297" t="s">
        <v>441</v>
      </c>
      <c r="B117" s="1" t="s">
        <v>231</v>
      </c>
      <c r="C117" s="1" t="s">
        <v>246</v>
      </c>
      <c r="D117" s="6" t="str">
        <f>CONCATENATE(ROW(A105))</f>
        <v>105</v>
      </c>
      <c r="E117" s="6"/>
      <c r="F117" s="13" t="s">
        <v>54</v>
      </c>
      <c r="G117" s="156"/>
      <c r="H117" s="157"/>
      <c r="I117" s="245"/>
      <c r="J117" s="176"/>
      <c r="K117" s="41"/>
      <c r="L117" s="14" t="s">
        <v>54</v>
      </c>
      <c r="M117" s="14" t="s">
        <v>54</v>
      </c>
      <c r="N117" s="14" t="s">
        <v>54</v>
      </c>
      <c r="O117" s="14"/>
      <c r="P117" s="14"/>
      <c r="Q117" s="2"/>
      <c r="R117" s="2"/>
      <c r="S117" s="2" t="s">
        <v>278</v>
      </c>
      <c r="T117" s="2" t="str">
        <f>IF(Config!$B$2='Data Validations'!$E$2,Text!B117,IF(Config!$B$2='Data Validations'!$E$3,Text!C117,"Select a lanaguage in config"))</f>
        <v>Application control flips the traditional model of assuming all apps are trustworthy to one where applications must earn trust. This can effectively block unwanted applications such as malware (exe, dll etc.) or vulnerable applications from running. Although extensive black and whitelists can be used, Application Control can also garner the reputation of an application from the Intelligent Security Graph and automatically block or allow them. This can greatly reduce the operational effort of managing an application control service whilst also significantly reducing the risk of compromise.</v>
      </c>
      <c r="U117" s="2" t="s">
        <v>1215</v>
      </c>
      <c r="V117" s="298" t="s">
        <v>1220</v>
      </c>
      <c r="W117" s="10" t="s">
        <v>395</v>
      </c>
      <c r="X117" s="37" t="s">
        <v>1223</v>
      </c>
      <c r="Y117" s="26" t="s">
        <v>442</v>
      </c>
      <c r="Z117" s="26" t="s">
        <v>443</v>
      </c>
      <c r="AA117" s="2" t="s">
        <v>238</v>
      </c>
      <c r="AB117" s="264"/>
      <c r="AC117" s="2"/>
      <c r="AD117" s="1" t="s">
        <v>323</v>
      </c>
    </row>
    <row r="118" spans="1:30" ht="15" customHeight="1" x14ac:dyDescent="0.45">
      <c r="A118" s="297" t="s">
        <v>444</v>
      </c>
      <c r="B118" s="1" t="s">
        <v>231</v>
      </c>
      <c r="C118" s="1" t="s">
        <v>246</v>
      </c>
      <c r="D118" s="6" t="str">
        <f>CONCATENATE(ROW(A105))</f>
        <v>105</v>
      </c>
      <c r="E118" s="6"/>
      <c r="F118" s="13" t="s">
        <v>54</v>
      </c>
      <c r="G118" s="158"/>
      <c r="H118" s="155"/>
      <c r="I118" s="245"/>
      <c r="J118" s="176"/>
      <c r="K118" s="41"/>
      <c r="L118" s="14" t="s">
        <v>54</v>
      </c>
      <c r="M118" s="14" t="s">
        <v>54</v>
      </c>
      <c r="N118" s="14" t="s">
        <v>54</v>
      </c>
      <c r="O118" s="14"/>
      <c r="P118" s="14"/>
      <c r="Q118" s="2"/>
      <c r="R118" s="2"/>
      <c r="S118" s="2" t="s">
        <v>278</v>
      </c>
      <c r="T118" s="2" t="str">
        <f>IF(Config!$B$2='Data Validations'!$E$2,Text!B118,IF(Config!$B$2='Data Validations'!$E$3,Text!C118,"Select a lanaguage in config"))</f>
        <v>Application Guard for Edge creates a virtualised browser session, separate from the parent OS, that users can interact with like a normal Edge browser window. Once this windows is closed, all data associated with that session is removed leaving nothing for an attacker to replay or re-use. This can be seen as a step towards Privileged Access Workstations (PAWs) reducing the risk of lateral movement and privilege escalation via s compromised device</v>
      </c>
      <c r="U118" s="2" t="s">
        <v>1215</v>
      </c>
      <c r="V118" s="298" t="s">
        <v>1220</v>
      </c>
      <c r="W118" s="10" t="s">
        <v>395</v>
      </c>
      <c r="X118" s="37" t="s">
        <v>1223</v>
      </c>
      <c r="Y118" s="26" t="s">
        <v>333</v>
      </c>
      <c r="Z118" s="29" t="s">
        <v>256</v>
      </c>
      <c r="AA118" s="2" t="s">
        <v>238</v>
      </c>
      <c r="AB118" s="264"/>
      <c r="AC118" s="2"/>
      <c r="AD118" s="1" t="s">
        <v>323</v>
      </c>
    </row>
    <row r="119" spans="1:30" ht="15" customHeight="1" x14ac:dyDescent="0.45">
      <c r="A119" s="297" t="s">
        <v>82</v>
      </c>
      <c r="B119" s="1" t="s">
        <v>445</v>
      </c>
      <c r="C119" s="1" t="s">
        <v>246</v>
      </c>
      <c r="D119" s="6" t="str">
        <f>CONCATENATE(ROW(A105))</f>
        <v>105</v>
      </c>
      <c r="E119" s="6"/>
      <c r="F119" s="13" t="s">
        <v>54</v>
      </c>
      <c r="G119" s="158"/>
      <c r="H119" s="155"/>
      <c r="I119" s="245"/>
      <c r="J119" s="177"/>
      <c r="K119" s="41"/>
      <c r="L119" s="14" t="s">
        <v>54</v>
      </c>
      <c r="M119" s="14" t="s">
        <v>54</v>
      </c>
      <c r="N119" s="14" t="s">
        <v>54</v>
      </c>
      <c r="O119" s="14"/>
      <c r="P119" s="14"/>
      <c r="Q119" s="2"/>
      <c r="R119" s="2"/>
      <c r="S119" s="2" t="s">
        <v>305</v>
      </c>
      <c r="T119" s="2" t="str">
        <f>IF(Config!$B$2='Data Validations'!$E$2,Text!B119,IF(Config!$B$2='Data Validations'!$E$3,Text!C119,"Select a lanaguage in config"))</f>
        <v>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organization (such as out of policy or cloud apps that do not comply to your regulatory needs).</v>
      </c>
      <c r="U119" s="2" t="s">
        <v>1215</v>
      </c>
      <c r="V119" s="122" t="s">
        <v>312</v>
      </c>
      <c r="W119" s="10" t="s">
        <v>280</v>
      </c>
      <c r="X119" s="37" t="s">
        <v>1245</v>
      </c>
      <c r="Y119" s="26" t="s">
        <v>446</v>
      </c>
      <c r="Z119" s="26" t="s">
        <v>447</v>
      </c>
      <c r="AA119" s="2" t="s">
        <v>238</v>
      </c>
      <c r="AB119" s="264"/>
      <c r="AC119" s="2"/>
      <c r="AD119" s="1" t="s">
        <v>323</v>
      </c>
    </row>
    <row r="120" spans="1:30" ht="15" customHeight="1" x14ac:dyDescent="0.45">
      <c r="A120" s="297" t="s">
        <v>195</v>
      </c>
      <c r="B120" s="1" t="s">
        <v>231</v>
      </c>
      <c r="C120" s="1" t="s">
        <v>246</v>
      </c>
      <c r="D120" s="6" t="str">
        <f>CONCATENATE(ROW(A105))</f>
        <v>105</v>
      </c>
      <c r="E120" s="6"/>
      <c r="F120" s="13" t="s">
        <v>54</v>
      </c>
      <c r="G120" s="153"/>
      <c r="H120" s="154"/>
      <c r="I120" s="245"/>
      <c r="J120" s="177"/>
      <c r="K120" s="41"/>
      <c r="L120" s="14" t="s">
        <v>54</v>
      </c>
      <c r="M120" s="14" t="s">
        <v>54</v>
      </c>
      <c r="N120" s="14" t="s">
        <v>54</v>
      </c>
      <c r="O120" s="14"/>
      <c r="P120" s="14"/>
      <c r="Q120" s="2"/>
      <c r="R120" s="2"/>
      <c r="S120" s="2" t="s">
        <v>305</v>
      </c>
      <c r="T120" s="2" t="str">
        <f>IF(Config!$B$2='Data Validations'!$E$2,Text!B120,IF(Config!$B$2='Data Validations'!$E$3,Text!C120,"Select a lanaguage in config"))</f>
        <v>The Unified Write Filter is aim at kiosk devices or devices that the general public use. Effectively, the Unified Write Filter creates an "overlay" where all changes made the disk are stored during a user session. When the use logs off or restarts the devices, the overlay is wiped and the device goes back to it's original state prior to sign on.</v>
      </c>
      <c r="U120" s="13" t="s">
        <v>406</v>
      </c>
      <c r="V120" s="298" t="s">
        <v>1220</v>
      </c>
      <c r="W120" s="10" t="s">
        <v>395</v>
      </c>
      <c r="X120" s="37" t="s">
        <v>1223</v>
      </c>
      <c r="Y120" s="26" t="s">
        <v>442</v>
      </c>
      <c r="Z120" s="26" t="s">
        <v>1266</v>
      </c>
      <c r="AA120" s="2" t="s">
        <v>238</v>
      </c>
      <c r="AB120" s="264"/>
      <c r="AC120" s="2"/>
      <c r="AD120" s="1"/>
    </row>
    <row r="121" spans="1:30" ht="15" customHeight="1" x14ac:dyDescent="0.45">
      <c r="A121" s="297" t="s">
        <v>448</v>
      </c>
      <c r="B121" s="1" t="s">
        <v>231</v>
      </c>
      <c r="C121" s="1" t="s">
        <v>246</v>
      </c>
      <c r="D121" s="6" t="str">
        <f>CONCATENATE(ROW(A105))</f>
        <v>105</v>
      </c>
      <c r="E121" s="6" t="s">
        <v>247</v>
      </c>
      <c r="F121" s="13" t="s">
        <v>54</v>
      </c>
      <c r="G121" s="156"/>
      <c r="H121" s="154"/>
      <c r="I121" s="245"/>
      <c r="J121" s="177"/>
      <c r="K121" s="41"/>
      <c r="L121" s="14" t="s">
        <v>54</v>
      </c>
      <c r="M121" s="14" t="s">
        <v>54</v>
      </c>
      <c r="N121" s="14" t="s">
        <v>54</v>
      </c>
      <c r="O121" s="14"/>
      <c r="P121" s="14"/>
      <c r="Q121" s="2"/>
      <c r="R121" s="2"/>
      <c r="S121" s="2" t="s">
        <v>305</v>
      </c>
      <c r="T121" s="2" t="str">
        <f>IF(Config!$B$2='Data Validations'!$E$2,Text!B121,IF(Config!$B$2='Data Validations'!$E$3,Text!C121,"Select a lanaguage in config"))</f>
        <v>Beyond the obvious of controlling inbound and outbound traffic on directly on a device, the Windows Firewall can also be used as response action for Defender for Endpoints. Should a device be under threat, admins can isolate a device, blocking all inbound and outbound traffic expect to those of remediation sources - stopping an attack spreading. This can also be true for Threat and Vulnerability Management to stop all protected devices sending or receiving traffic to rouge devices on a network.</v>
      </c>
      <c r="U121" s="2" t="s">
        <v>1215</v>
      </c>
      <c r="V121" s="298" t="s">
        <v>1220</v>
      </c>
      <c r="W121" s="10" t="s">
        <v>395</v>
      </c>
      <c r="X121" s="37" t="s">
        <v>1223</v>
      </c>
      <c r="Y121" s="26" t="s">
        <v>449</v>
      </c>
      <c r="Z121" s="26" t="s">
        <v>447</v>
      </c>
      <c r="AA121" s="2" t="s">
        <v>238</v>
      </c>
      <c r="AB121" s="264"/>
      <c r="AC121" s="2"/>
      <c r="AD121" s="1" t="s">
        <v>323</v>
      </c>
    </row>
    <row r="122" spans="1:30" ht="15" customHeight="1" x14ac:dyDescent="0.45">
      <c r="A122" s="297" t="s">
        <v>180</v>
      </c>
      <c r="B122" s="1" t="s">
        <v>231</v>
      </c>
      <c r="C122" s="1" t="s">
        <v>246</v>
      </c>
      <c r="D122" s="6" t="str">
        <f>CONCATENATE(ROW(A105))</f>
        <v>105</v>
      </c>
      <c r="E122" s="6" t="s">
        <v>247</v>
      </c>
      <c r="F122" s="13" t="s">
        <v>54</v>
      </c>
      <c r="G122" s="156"/>
      <c r="H122" s="154"/>
      <c r="I122" s="247"/>
      <c r="J122" s="176"/>
      <c r="K122" s="41"/>
      <c r="L122" s="14" t="s">
        <v>54</v>
      </c>
      <c r="M122" s="14" t="s">
        <v>54</v>
      </c>
      <c r="N122" s="14" t="s">
        <v>54</v>
      </c>
      <c r="O122" s="14"/>
      <c r="P122" s="14"/>
      <c r="Q122" s="2"/>
      <c r="R122" s="2"/>
      <c r="S122" s="2" t="s">
        <v>278</v>
      </c>
      <c r="T122" s="2" t="str">
        <f>IF(Config!$B$2='Data Validations'!$E$2,Text!B122,IF(Config!$B$2='Data Validations'!$E$3,Text!C122,"Select a lanaguage in config"))</f>
        <v>BitLocker provides full disk encryption. Without the encryption key, an attacker cannot directly access data on a disk drive potentially preventing data leaks. These encryption keys can be managed and stored centrally via Microsoft Entra ID or your own Active Directory</v>
      </c>
      <c r="U122" s="2" t="s">
        <v>1215</v>
      </c>
      <c r="V122" s="298" t="s">
        <v>1220</v>
      </c>
      <c r="W122" s="10" t="s">
        <v>395</v>
      </c>
      <c r="X122" s="37" t="s">
        <v>1223</v>
      </c>
      <c r="Y122" s="26" t="s">
        <v>450</v>
      </c>
      <c r="Z122" s="26" t="s">
        <v>1266</v>
      </c>
      <c r="AA122" s="2" t="s">
        <v>238</v>
      </c>
      <c r="AB122" s="264"/>
      <c r="AC122" s="2"/>
      <c r="AD122" s="1" t="s">
        <v>323</v>
      </c>
    </row>
    <row r="123" spans="1:30" ht="15" customHeight="1" x14ac:dyDescent="0.45">
      <c r="A123" s="310" t="s">
        <v>88</v>
      </c>
      <c r="B123" s="1" t="s">
        <v>88</v>
      </c>
      <c r="C123" s="1" t="s">
        <v>239</v>
      </c>
      <c r="D123" s="6" t="str">
        <f>CONCATENATE(ROW(A4),",",ROW(A26),",",ROW(A76))</f>
        <v>4,26,76</v>
      </c>
      <c r="E123" s="6"/>
      <c r="F123" s="13" t="s">
        <v>54</v>
      </c>
      <c r="G123" s="156"/>
      <c r="H123" s="157"/>
      <c r="I123" s="246"/>
      <c r="J123" s="176"/>
      <c r="K123" s="41"/>
      <c r="L123" s="14" t="s">
        <v>54</v>
      </c>
      <c r="M123" s="14" t="s">
        <v>54</v>
      </c>
      <c r="N123" s="14" t="s">
        <v>54</v>
      </c>
      <c r="O123" s="14"/>
      <c r="P123" s="14"/>
      <c r="Q123" s="124"/>
      <c r="R123" s="2"/>
      <c r="S123" s="2" t="s">
        <v>289</v>
      </c>
      <c r="T123" s="2" t="str">
        <f>IF(Config!$B$2='Data Validations'!$E$2,Text!B123,IF(Config!$B$2='Data Validations'!$E$3,Text!C123,"Select a lanaguage in config"))</f>
        <v>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organization.</v>
      </c>
      <c r="U123" s="13" t="s">
        <v>406</v>
      </c>
      <c r="V123" s="122" t="s">
        <v>279</v>
      </c>
      <c r="W123" s="10" t="s">
        <v>290</v>
      </c>
      <c r="X123" s="25" t="s">
        <v>575</v>
      </c>
      <c r="Y123" s="28" t="s">
        <v>451</v>
      </c>
      <c r="Z123" s="26" t="s">
        <v>270</v>
      </c>
      <c r="AA123" s="2" t="s">
        <v>238</v>
      </c>
      <c r="AB123" s="264" t="s">
        <v>452</v>
      </c>
      <c r="AC123" s="2" t="s">
        <v>424</v>
      </c>
      <c r="AD123" s="1"/>
    </row>
    <row r="124" spans="1:30" ht="15" customHeight="1" x14ac:dyDescent="0.45">
      <c r="A124" s="3" t="s">
        <v>453</v>
      </c>
      <c r="B124" s="13" t="s">
        <v>229</v>
      </c>
      <c r="C124" s="13" t="s">
        <v>229</v>
      </c>
      <c r="D124" s="13" t="s">
        <v>229</v>
      </c>
      <c r="E124" s="13" t="s">
        <v>229</v>
      </c>
      <c r="F124" s="13" t="s">
        <v>229</v>
      </c>
      <c r="G124" s="151" t="s">
        <v>229</v>
      </c>
      <c r="H124" s="152" t="s">
        <v>229</v>
      </c>
      <c r="I124" s="244" t="s">
        <v>229</v>
      </c>
      <c r="J124" s="175" t="s">
        <v>229</v>
      </c>
      <c r="K124" s="259" t="s">
        <v>229</v>
      </c>
      <c r="L124" s="152" t="s">
        <v>229</v>
      </c>
      <c r="M124" s="152" t="s">
        <v>229</v>
      </c>
      <c r="N124" s="152" t="s">
        <v>229</v>
      </c>
      <c r="O124" s="13" t="s">
        <v>229</v>
      </c>
      <c r="P124" s="13" t="s">
        <v>229</v>
      </c>
      <c r="Q124" s="13" t="s">
        <v>229</v>
      </c>
      <c r="R124" s="13" t="s">
        <v>229</v>
      </c>
      <c r="S124" s="13" t="s">
        <v>229</v>
      </c>
      <c r="T124" s="2" t="str">
        <f>IF(Config!$B$2='Data Validations'!$E$2,Text!B124,IF(Config!$B$2='Data Validations'!$E$3,Text!C124,"Select a lanaguage in config"))</f>
        <v>__</v>
      </c>
      <c r="U124" s="13" t="s">
        <v>229</v>
      </c>
      <c r="V124" s="13" t="s">
        <v>229</v>
      </c>
      <c r="W124" s="13" t="s">
        <v>229</v>
      </c>
      <c r="X124" s="13" t="s">
        <v>229</v>
      </c>
      <c r="Y124" s="13" t="s">
        <v>229</v>
      </c>
      <c r="Z124" s="13" t="s">
        <v>229</v>
      </c>
      <c r="AA124" s="13" t="s">
        <v>229</v>
      </c>
      <c r="AB124" s="264"/>
      <c r="AC124" s="2"/>
      <c r="AD124" s="2"/>
    </row>
    <row r="125" spans="1:30" ht="15" customHeight="1" x14ac:dyDescent="0.45">
      <c r="A125" s="305" t="s">
        <v>454</v>
      </c>
      <c r="B125" s="13" t="s">
        <v>259</v>
      </c>
      <c r="C125" s="13" t="s">
        <v>259</v>
      </c>
      <c r="D125" s="13" t="s">
        <v>259</v>
      </c>
      <c r="E125" s="13" t="s">
        <v>259</v>
      </c>
      <c r="F125" s="13" t="s">
        <v>259</v>
      </c>
      <c r="G125" s="151" t="s">
        <v>259</v>
      </c>
      <c r="H125" s="152" t="s">
        <v>259</v>
      </c>
      <c r="I125" s="244" t="s">
        <v>259</v>
      </c>
      <c r="J125" s="175" t="s">
        <v>259</v>
      </c>
      <c r="K125" s="259" t="s">
        <v>259</v>
      </c>
      <c r="L125" s="152" t="s">
        <v>259</v>
      </c>
      <c r="M125" s="152" t="s">
        <v>259</v>
      </c>
      <c r="N125" s="152" t="s">
        <v>259</v>
      </c>
      <c r="O125" s="13" t="s">
        <v>259</v>
      </c>
      <c r="P125" s="13" t="s">
        <v>259</v>
      </c>
      <c r="Q125" s="13" t="s">
        <v>259</v>
      </c>
      <c r="R125" s="13" t="s">
        <v>259</v>
      </c>
      <c r="S125" s="13" t="s">
        <v>259</v>
      </c>
      <c r="T125" s="2" t="str">
        <f>IF(Config!$B$2='Data Validations'!$E$2,Text!B125,IF(Config!$B$2='Data Validations'!$E$3,Text!C125,"Select a lanaguage in config"))</f>
        <v>_</v>
      </c>
      <c r="U125" s="13" t="s">
        <v>259</v>
      </c>
      <c r="V125" s="13" t="s">
        <v>259</v>
      </c>
      <c r="W125" s="13" t="s">
        <v>259</v>
      </c>
      <c r="X125" s="13" t="s">
        <v>259</v>
      </c>
      <c r="Y125" s="13" t="s">
        <v>259</v>
      </c>
      <c r="Z125" s="13" t="s">
        <v>259</v>
      </c>
      <c r="AA125" s="13" t="s">
        <v>259</v>
      </c>
      <c r="AB125" s="61" t="s">
        <v>455</v>
      </c>
      <c r="AC125" s="2" t="s">
        <v>386</v>
      </c>
      <c r="AD125" s="2"/>
    </row>
    <row r="126" spans="1:30" ht="15" customHeight="1" x14ac:dyDescent="0.45">
      <c r="A126" s="289" t="s">
        <v>456</v>
      </c>
      <c r="B126" s="1" t="s">
        <v>1498</v>
      </c>
      <c r="C126" s="1" t="s">
        <v>232</v>
      </c>
      <c r="D126" s="5"/>
      <c r="E126" s="5" t="s">
        <v>307</v>
      </c>
      <c r="F126" s="13" t="s">
        <v>54</v>
      </c>
      <c r="G126" s="156"/>
      <c r="H126" s="154"/>
      <c r="I126" s="245"/>
      <c r="J126" s="177"/>
      <c r="K126" s="41"/>
      <c r="L126" s="14" t="s">
        <v>54</v>
      </c>
      <c r="M126" s="14" t="s">
        <v>54</v>
      </c>
      <c r="N126" s="14" t="s">
        <v>54</v>
      </c>
      <c r="O126" s="14"/>
      <c r="P126" s="14"/>
      <c r="Q126" s="2"/>
      <c r="R126" s="2"/>
      <c r="S126" s="2" t="s">
        <v>233</v>
      </c>
      <c r="T126" s="2" t="str">
        <f>IF(Config!$B$2='Data Validations'!$E$2,Text!B126,IF(Config!$B$2='Data Validations'!$E$3,Text!C126,"Select a lanaguage in config"))</f>
        <v>Effective configuration of Defender for Endpoints and its prerequisites can significantly improve your security posture, reduce noise in alerts and increase your ability to effectively respond to threats.</v>
      </c>
      <c r="U126" s="2" t="s">
        <v>382</v>
      </c>
      <c r="V126" s="120" t="s">
        <v>312</v>
      </c>
      <c r="W126" s="10" t="s">
        <v>280</v>
      </c>
      <c r="X126" s="37" t="s">
        <v>1225</v>
      </c>
      <c r="Y126" s="26" t="s">
        <v>439</v>
      </c>
      <c r="Z126" s="26" t="s">
        <v>1267</v>
      </c>
      <c r="AA126" s="2" t="s">
        <v>238</v>
      </c>
      <c r="AB126" s="264"/>
      <c r="AC126" s="2"/>
      <c r="AD126" s="1"/>
    </row>
    <row r="127" spans="1:30" ht="15" customHeight="1" x14ac:dyDescent="0.45">
      <c r="A127" s="297" t="s">
        <v>457</v>
      </c>
      <c r="B127" s="1" t="s">
        <v>1498</v>
      </c>
      <c r="C127" s="1" t="s">
        <v>232</v>
      </c>
      <c r="D127" s="6" t="str">
        <f>CONCATENATE(ROW(A126))</f>
        <v>126</v>
      </c>
      <c r="E127" s="5"/>
      <c r="F127" s="13" t="s">
        <v>54</v>
      </c>
      <c r="G127" s="158"/>
      <c r="H127" s="155"/>
      <c r="I127" s="245"/>
      <c r="J127" s="177"/>
      <c r="K127" s="41"/>
      <c r="L127" s="14" t="s">
        <v>54</v>
      </c>
      <c r="M127" s="14" t="s">
        <v>54</v>
      </c>
      <c r="N127" s="14" t="s">
        <v>54</v>
      </c>
      <c r="O127" s="14"/>
      <c r="P127" s="14"/>
      <c r="Q127" s="2"/>
      <c r="R127" s="2"/>
      <c r="S127" s="2" t="s">
        <v>305</v>
      </c>
      <c r="T127" s="2" t="str">
        <f>IF(Config!$B$2='Data Validations'!$E$2,Text!B127,IF(Config!$B$2='Data Validations'!$E$3,Text!C127,"Select a lanaguage in config"))</f>
        <v>The Endpoint Attack Notification capability provides proactive hunting for the most important threats to your network. The Microsoft Defender Experts hunt for human adversary intrusions, hands-on-keyboard attacks, and advanced attacks, such as cyberespionage. These notifications will show up as a new alert. Your threat feed is anonymized before sent to the Microsoft Threat Intelligence Center (MSTIC).</v>
      </c>
      <c r="U127" s="2" t="s">
        <v>382</v>
      </c>
      <c r="V127" s="120" t="s">
        <v>312</v>
      </c>
      <c r="W127" s="10" t="s">
        <v>280</v>
      </c>
      <c r="X127" s="36" t="s">
        <v>281</v>
      </c>
      <c r="Y127" s="26" t="s">
        <v>439</v>
      </c>
      <c r="Z127" s="26" t="s">
        <v>1267</v>
      </c>
      <c r="AA127" s="2"/>
      <c r="AB127" s="264"/>
      <c r="AC127" s="2"/>
      <c r="AD127" s="1"/>
    </row>
    <row r="128" spans="1:30" ht="15" customHeight="1" x14ac:dyDescent="0.45">
      <c r="A128" s="289" t="s">
        <v>147</v>
      </c>
      <c r="B128" s="1" t="s">
        <v>1498</v>
      </c>
      <c r="C128" s="1" t="s">
        <v>239</v>
      </c>
      <c r="D128" s="6" t="str">
        <f>CONCATENATE(ROW(A105),",",ROW(A126))</f>
        <v>105,126</v>
      </c>
      <c r="E128" s="6" t="s">
        <v>307</v>
      </c>
      <c r="F128" s="13" t="s">
        <v>54</v>
      </c>
      <c r="G128" s="158"/>
      <c r="H128" s="154"/>
      <c r="I128" s="245"/>
      <c r="J128" s="177"/>
      <c r="K128" s="41"/>
      <c r="L128" s="14" t="s">
        <v>54</v>
      </c>
      <c r="M128" s="14" t="s">
        <v>54</v>
      </c>
      <c r="N128" s="14" t="s">
        <v>54</v>
      </c>
      <c r="O128" s="14"/>
      <c r="P128" s="14"/>
      <c r="Q128" s="2"/>
      <c r="R128" s="2"/>
      <c r="S128" s="2" t="s">
        <v>305</v>
      </c>
      <c r="T128" s="2" t="str">
        <f>IF(Config!$B$2='Data Validations'!$E$2,Text!B128,IF(Config!$B$2='Data Validations'!$E$3,Text!C128,"Select a lanaguage in config"))</f>
        <v>The Defender for Endpoints agent is already built into Windows 10 and above and simply needs to be turned on and tied to the correct tenant. Since Defender for Endpoints is built into the Operating System natively, there is potentially reduced performance overheads, deep integration into the OS without disruptive installs. The native integration also means Defender for Endpoints can detect third party Anti Malware services running and drop into a passive mode without negatively affecting performance. This means Defender for Endpoints can be rapidly deployed with non-disruptive installations or restarts.</v>
      </c>
      <c r="U128" s="2" t="s">
        <v>1215</v>
      </c>
      <c r="V128" s="120" t="s">
        <v>312</v>
      </c>
      <c r="W128" s="38" t="s">
        <v>438</v>
      </c>
      <c r="X128" s="37" t="s">
        <v>1225</v>
      </c>
      <c r="Y128" s="26" t="s">
        <v>439</v>
      </c>
      <c r="Z128" s="26" t="s">
        <v>1267</v>
      </c>
      <c r="AA128" s="2" t="s">
        <v>238</v>
      </c>
      <c r="AB128" s="264"/>
      <c r="AC128" s="2"/>
      <c r="AD128" s="1"/>
    </row>
    <row r="129" spans="1:30" ht="15" customHeight="1" x14ac:dyDescent="0.45">
      <c r="A129" s="289" t="s">
        <v>155</v>
      </c>
      <c r="B129" s="1" t="s">
        <v>1498</v>
      </c>
      <c r="C129" s="1" t="s">
        <v>246</v>
      </c>
      <c r="D129" s="6" t="str">
        <f>CONCATENATE(ROW(A126))</f>
        <v>126</v>
      </c>
      <c r="E129" s="6"/>
      <c r="F129" s="13" t="s">
        <v>54</v>
      </c>
      <c r="G129" s="153"/>
      <c r="H129" s="154"/>
      <c r="I129" s="246"/>
      <c r="J129" s="177"/>
      <c r="K129" s="41"/>
      <c r="L129" s="14" t="s">
        <v>54</v>
      </c>
      <c r="M129" s="14" t="s">
        <v>54</v>
      </c>
      <c r="N129" s="14" t="s">
        <v>54</v>
      </c>
      <c r="O129" s="14"/>
      <c r="P129" s="14"/>
      <c r="Q129" s="2"/>
      <c r="R129" s="2"/>
      <c r="S129" s="2" t="s">
        <v>305</v>
      </c>
      <c r="T129" s="2" t="str">
        <f>IF(Config!$B$2='Data Validations'!$E$2,Text!B129,IF(Config!$B$2='Data Validations'!$E$3,Text!C129,"Select a lanaguage in config"))</f>
        <v>The latest version on the Mac OS agent has a significantly smaller footprint and quicker installs. All Mac OS devices can be grouped and managed with any other devices in Defender for Endpoints.</v>
      </c>
      <c r="U129" s="2" t="s">
        <v>1215</v>
      </c>
      <c r="V129" s="120" t="s">
        <v>312</v>
      </c>
      <c r="W129" s="38" t="s">
        <v>438</v>
      </c>
      <c r="X129" s="37" t="s">
        <v>1225</v>
      </c>
      <c r="Y129" s="26" t="s">
        <v>439</v>
      </c>
      <c r="Z129" s="26" t="s">
        <v>1267</v>
      </c>
      <c r="AA129" s="2" t="s">
        <v>238</v>
      </c>
      <c r="AB129" s="264"/>
      <c r="AC129" s="2"/>
      <c r="AD129" s="1"/>
    </row>
    <row r="130" spans="1:30" ht="15" customHeight="1" x14ac:dyDescent="0.45">
      <c r="A130" s="289" t="s">
        <v>148</v>
      </c>
      <c r="B130" s="1" t="s">
        <v>1498</v>
      </c>
      <c r="C130" s="1" t="s">
        <v>246</v>
      </c>
      <c r="D130" s="6" t="str">
        <f>CONCATENATE(ROW(A126))</f>
        <v>126</v>
      </c>
      <c r="E130" s="6"/>
      <c r="F130" s="13" t="s">
        <v>54</v>
      </c>
      <c r="G130" s="153"/>
      <c r="H130" s="154"/>
      <c r="I130" s="246"/>
      <c r="J130" s="177"/>
      <c r="K130" s="41"/>
      <c r="L130" s="14" t="s">
        <v>54</v>
      </c>
      <c r="M130" s="14" t="s">
        <v>54</v>
      </c>
      <c r="N130" s="14" t="s">
        <v>54</v>
      </c>
      <c r="O130" s="14"/>
      <c r="P130" s="14"/>
      <c r="Q130" s="2"/>
      <c r="R130" s="2"/>
      <c r="S130" s="2" t="s">
        <v>305</v>
      </c>
      <c r="T130" s="2" t="str">
        <f>IF(Config!$B$2='Data Validations'!$E$2,Text!B130,IF(Config!$B$2='Data Validations'!$E$3,Text!C130,"Select a lanaguage in config"))</f>
        <v>Protection for Android is included in the Microsoft Defender for Endpoints user licensing, where user can have five concurrent devices protected under their single user license. Deployment is zero touch for managed devices via Microsoft Endpoint Manager (Intune). Capabilities include malware detection (malicious apps), web protection, Threat and Vulnerability Management, Network Protection (rouge WiFi access points etc.), Device risk based conditional access/conditional launch all with unified alerting into security.microsoft.com</v>
      </c>
      <c r="U130" s="2" t="s">
        <v>1215</v>
      </c>
      <c r="V130" s="120" t="s">
        <v>312</v>
      </c>
      <c r="W130" s="38" t="s">
        <v>438</v>
      </c>
      <c r="X130" s="37" t="s">
        <v>1225</v>
      </c>
      <c r="Y130" s="26" t="s">
        <v>439</v>
      </c>
      <c r="Z130" s="26" t="s">
        <v>1267</v>
      </c>
      <c r="AA130" s="2" t="s">
        <v>238</v>
      </c>
      <c r="AB130" s="264"/>
      <c r="AC130" s="2"/>
      <c r="AD130" s="1"/>
    </row>
    <row r="131" spans="1:30" ht="15" customHeight="1" x14ac:dyDescent="0.45">
      <c r="A131" s="289" t="s">
        <v>140</v>
      </c>
      <c r="B131" s="1" t="s">
        <v>1498</v>
      </c>
      <c r="C131" s="1" t="s">
        <v>246</v>
      </c>
      <c r="D131" s="6" t="str">
        <f>CONCATENATE(ROW(A126))</f>
        <v>126</v>
      </c>
      <c r="E131" s="6"/>
      <c r="F131" s="13" t="s">
        <v>54</v>
      </c>
      <c r="G131" s="158"/>
      <c r="H131" s="155"/>
      <c r="I131" s="245"/>
      <c r="J131" s="177"/>
      <c r="K131" s="41"/>
      <c r="L131" s="14" t="s">
        <v>54</v>
      </c>
      <c r="M131" s="14" t="s">
        <v>54</v>
      </c>
      <c r="N131" s="14" t="s">
        <v>54</v>
      </c>
      <c r="O131" s="14"/>
      <c r="P131" s="14"/>
      <c r="Q131" s="2"/>
      <c r="R131" s="2"/>
      <c r="S131" s="2" t="s">
        <v>305</v>
      </c>
      <c r="T131" s="2" t="str">
        <f>IF(Config!$B$2='Data Validations'!$E$2,Text!B131,IF(Config!$B$2='Data Validations'!$E$3,Text!C131,"Select a lanaguage in config"))</f>
        <v>Protection for iOS is included in the Microsoft Defender for Endpoints user licensing, where user can have five concurrent devices protected under their single user license. Deployment is zero touch for managed devices via Microsoft Endpoint Manager (Intune). Capabilities include malware detection, Jailbreak detection, web protection, Threat and Vulnerability Management, Network Protection (rouge WiFi access points etc.), Device risk based conditional access/conditional launch all with unified alerting into security.microsoft.com</v>
      </c>
      <c r="U131" s="2" t="s">
        <v>1215</v>
      </c>
      <c r="V131" s="120" t="s">
        <v>312</v>
      </c>
      <c r="W131" s="38" t="s">
        <v>438</v>
      </c>
      <c r="X131" s="37" t="s">
        <v>1225</v>
      </c>
      <c r="Y131" s="26" t="s">
        <v>439</v>
      </c>
      <c r="Z131" s="26" t="s">
        <v>1267</v>
      </c>
      <c r="AA131" s="2" t="s">
        <v>238</v>
      </c>
      <c r="AB131" s="264"/>
      <c r="AC131" s="2"/>
      <c r="AD131" s="2"/>
    </row>
    <row r="132" spans="1:30" ht="15" customHeight="1" x14ac:dyDescent="0.45">
      <c r="A132" s="299" t="s">
        <v>458</v>
      </c>
      <c r="B132" s="147" t="s">
        <v>459</v>
      </c>
      <c r="C132" s="147" t="s">
        <v>239</v>
      </c>
      <c r="D132" s="148" t="str">
        <f>CONCATENATE(ROW(A126))</f>
        <v>126</v>
      </c>
      <c r="E132" s="148"/>
      <c r="F132" s="13" t="s">
        <v>54</v>
      </c>
      <c r="G132" s="158"/>
      <c r="H132" s="155"/>
      <c r="I132" s="269"/>
      <c r="J132" s="177"/>
      <c r="K132" s="41"/>
      <c r="L132" s="14" t="s">
        <v>54</v>
      </c>
      <c r="M132" s="14" t="s">
        <v>54</v>
      </c>
      <c r="N132" s="14" t="s">
        <v>54</v>
      </c>
      <c r="O132" s="146"/>
      <c r="P132" s="146"/>
      <c r="Q132" s="13"/>
      <c r="R132" s="13"/>
      <c r="S132" s="2" t="s">
        <v>305</v>
      </c>
      <c r="T132" s="2" t="str">
        <f>IF(Config!$B$2='Data Validations'!$E$2,Text!B132,IF(Config!$B$2='Data Validations'!$E$3,Text!C132,"Select a lanaguage in config"))</f>
        <v>Microsoft Defender for Endpoints for Servers provides MDE P2 functionality for servers from Server 2008R2 and above, as well as Linux servers. It is an effective way to license servers on a per node basis and would be targeted and servers outside of Azure</v>
      </c>
      <c r="U132" s="2" t="s">
        <v>612</v>
      </c>
      <c r="V132" s="120" t="s">
        <v>312</v>
      </c>
      <c r="W132" s="10" t="s">
        <v>280</v>
      </c>
      <c r="X132" s="37" t="s">
        <v>1225</v>
      </c>
      <c r="Y132" s="26" t="s">
        <v>439</v>
      </c>
      <c r="Z132" s="26" t="s">
        <v>1267</v>
      </c>
      <c r="AA132" s="2" t="s">
        <v>238</v>
      </c>
      <c r="AB132" s="264"/>
      <c r="AC132" s="2"/>
      <c r="AD132" s="2"/>
    </row>
    <row r="133" spans="1:30" s="126" customFormat="1" ht="15" customHeight="1" x14ac:dyDescent="0.45">
      <c r="A133" s="300" t="s">
        <v>460</v>
      </c>
      <c r="B133" s="233" t="s">
        <v>259</v>
      </c>
      <c r="C133" s="233" t="s">
        <v>259</v>
      </c>
      <c r="D133" s="233" t="s">
        <v>259</v>
      </c>
      <c r="E133" s="233" t="s">
        <v>259</v>
      </c>
      <c r="F133" s="233" t="s">
        <v>259</v>
      </c>
      <c r="G133" s="234" t="s">
        <v>259</v>
      </c>
      <c r="H133" s="235" t="s">
        <v>259</v>
      </c>
      <c r="I133" s="254" t="s">
        <v>259</v>
      </c>
      <c r="J133" s="236" t="s">
        <v>259</v>
      </c>
      <c r="K133" s="260" t="s">
        <v>259</v>
      </c>
      <c r="L133" s="235" t="s">
        <v>259</v>
      </c>
      <c r="M133" s="235" t="s">
        <v>259</v>
      </c>
      <c r="N133" s="235" t="s">
        <v>259</v>
      </c>
      <c r="O133" s="233" t="s">
        <v>259</v>
      </c>
      <c r="P133" s="233" t="s">
        <v>259</v>
      </c>
      <c r="Q133" s="233" t="s">
        <v>259</v>
      </c>
      <c r="R133" s="233" t="s">
        <v>259</v>
      </c>
      <c r="S133" s="233" t="s">
        <v>259</v>
      </c>
      <c r="T133" s="2" t="str">
        <f>IF(Config!$B$2='Data Validations'!$E$2,Text!B133,IF(Config!$B$2='Data Validations'!$E$3,Text!C133,"Select a lanaguage in config"))</f>
        <v>_</v>
      </c>
      <c r="U133" s="233" t="s">
        <v>259</v>
      </c>
      <c r="V133" s="233" t="s">
        <v>259</v>
      </c>
      <c r="W133" s="233" t="s">
        <v>259</v>
      </c>
      <c r="X133" s="233" t="s">
        <v>259</v>
      </c>
      <c r="Y133" s="233" t="s">
        <v>259</v>
      </c>
      <c r="Z133" s="233" t="s">
        <v>259</v>
      </c>
      <c r="AA133" s="233" t="s">
        <v>259</v>
      </c>
      <c r="AB133" s="265"/>
      <c r="AC133" s="24"/>
      <c r="AD133" s="24"/>
    </row>
    <row r="134" spans="1:30" s="126" customFormat="1" ht="15" customHeight="1" x14ac:dyDescent="0.45">
      <c r="A134" s="297" t="s">
        <v>461</v>
      </c>
      <c r="B134" s="1" t="s">
        <v>1498</v>
      </c>
      <c r="C134" s="1" t="s">
        <v>246</v>
      </c>
      <c r="D134" s="6" t="str">
        <f>CONCATENATE(ROW(A126))</f>
        <v>126</v>
      </c>
      <c r="E134" s="191"/>
      <c r="F134" s="13" t="s">
        <v>54</v>
      </c>
      <c r="G134" s="192"/>
      <c r="H134" s="193"/>
      <c r="I134" s="255"/>
      <c r="J134" s="194"/>
      <c r="K134" s="41"/>
      <c r="L134" s="14" t="s">
        <v>54</v>
      </c>
      <c r="M134" s="14" t="s">
        <v>54</v>
      </c>
      <c r="N134" s="14" t="s">
        <v>54</v>
      </c>
      <c r="O134" s="125"/>
      <c r="P134" s="125"/>
      <c r="Q134" s="24"/>
      <c r="R134" s="24"/>
      <c r="S134" s="2" t="s">
        <v>305</v>
      </c>
      <c r="T134" s="2" t="str">
        <f>IF(Config!$B$2='Data Validations'!$E$2,Text!B134,IF(Config!$B$2='Data Validations'!$E$3,Text!C134,"Select a lanaguage in config"))</f>
        <v>Threat and Vulnerability Management is essential in closing off risk before an attacker can take advantage of it. Microsoft Defender for Endpoints Threat and Vulnerability Management (TVM) helps prioritise the vulnerabilities and can then create infrastructure driven tasks to update software or deploy patches via Microsoft Endpoint Manager</v>
      </c>
      <c r="U134" s="2" t="s">
        <v>382</v>
      </c>
      <c r="V134" s="120" t="s">
        <v>312</v>
      </c>
      <c r="W134" s="10" t="s">
        <v>280</v>
      </c>
      <c r="X134" s="37" t="s">
        <v>1225</v>
      </c>
      <c r="Y134" s="39" t="s">
        <v>460</v>
      </c>
      <c r="Z134" s="26" t="s">
        <v>1267</v>
      </c>
      <c r="AA134" s="24"/>
      <c r="AB134" s="265"/>
      <c r="AC134" s="24"/>
      <c r="AD134" s="24"/>
    </row>
    <row r="135" spans="1:30" s="126" customFormat="1" ht="15" customHeight="1" x14ac:dyDescent="0.45">
      <c r="A135" s="297" t="s">
        <v>462</v>
      </c>
      <c r="B135" s="25" t="s">
        <v>462</v>
      </c>
      <c r="C135" s="25" t="s">
        <v>239</v>
      </c>
      <c r="D135" s="191" t="str">
        <f>CONCATENATE(ROW(A126))</f>
        <v>126</v>
      </c>
      <c r="E135" s="191"/>
      <c r="F135" s="13" t="s">
        <v>54</v>
      </c>
      <c r="G135" s="192"/>
      <c r="H135" s="193"/>
      <c r="I135" s="255"/>
      <c r="J135" s="194"/>
      <c r="K135" s="332"/>
      <c r="L135" s="14" t="s">
        <v>54</v>
      </c>
      <c r="M135" s="14" t="s">
        <v>54</v>
      </c>
      <c r="N135" s="14" t="s">
        <v>54</v>
      </c>
      <c r="O135" s="125"/>
      <c r="P135" s="125"/>
      <c r="Q135" s="24"/>
      <c r="R135" s="24"/>
      <c r="S135" s="2" t="s">
        <v>305</v>
      </c>
      <c r="T135" s="2" t="str">
        <f>IF(Config!$B$2='Data Validations'!$E$2,Text!B135,IF(Config!$B$2='Data Validations'!$E$3,Text!C135,"Select a lanaguage in config"))</f>
        <v>Microsoft Defender Vulnerability Management builds up Microsoft Defender for Endpoints Threat and Vulnerability Management adding assessment of Certificates, Browser Plug-ins, unmanaged endpoints, analysis of network shares. Additionally, it adds Security baselines and the ability to block vulnerable applications from running</v>
      </c>
      <c r="U135" s="2" t="s">
        <v>382</v>
      </c>
      <c r="V135" s="120" t="s">
        <v>312</v>
      </c>
      <c r="W135" s="10" t="s">
        <v>280</v>
      </c>
      <c r="X135" s="37" t="s">
        <v>1225</v>
      </c>
      <c r="Y135" s="39" t="s">
        <v>460</v>
      </c>
      <c r="Z135" s="26" t="s">
        <v>1267</v>
      </c>
      <c r="AA135" s="24"/>
      <c r="AB135" s="265"/>
      <c r="AC135" s="24"/>
      <c r="AD135" s="24"/>
    </row>
    <row r="136" spans="1:30" ht="15" customHeight="1" x14ac:dyDescent="0.45">
      <c r="A136" s="305" t="s">
        <v>463</v>
      </c>
      <c r="B136" s="13" t="s">
        <v>259</v>
      </c>
      <c r="C136" s="13" t="s">
        <v>259</v>
      </c>
      <c r="D136" s="13" t="s">
        <v>259</v>
      </c>
      <c r="E136" s="13" t="s">
        <v>259</v>
      </c>
      <c r="F136" s="13" t="s">
        <v>259</v>
      </c>
      <c r="G136" s="151" t="s">
        <v>259</v>
      </c>
      <c r="H136" s="152" t="s">
        <v>259</v>
      </c>
      <c r="I136" s="244" t="s">
        <v>259</v>
      </c>
      <c r="J136" s="175" t="s">
        <v>259</v>
      </c>
      <c r="K136" s="259" t="s">
        <v>259</v>
      </c>
      <c r="L136" s="152" t="s">
        <v>259</v>
      </c>
      <c r="M136" s="152" t="s">
        <v>259</v>
      </c>
      <c r="N136" s="152" t="s">
        <v>259</v>
      </c>
      <c r="O136" s="13" t="s">
        <v>259</v>
      </c>
      <c r="P136" s="13" t="s">
        <v>259</v>
      </c>
      <c r="Q136" s="13" t="s">
        <v>259</v>
      </c>
      <c r="R136" s="13" t="s">
        <v>259</v>
      </c>
      <c r="S136" s="13" t="s">
        <v>259</v>
      </c>
      <c r="T136" s="2" t="str">
        <f>IF(Config!$B$2='Data Validations'!$E$2,Text!B136,IF(Config!$B$2='Data Validations'!$E$3,Text!C136,"Select a lanaguage in config"))</f>
        <v>_</v>
      </c>
      <c r="U136" s="13" t="s">
        <v>259</v>
      </c>
      <c r="V136" s="13" t="s">
        <v>259</v>
      </c>
      <c r="W136" s="13" t="s">
        <v>259</v>
      </c>
      <c r="X136" s="13" t="s">
        <v>259</v>
      </c>
      <c r="Y136" s="13" t="s">
        <v>259</v>
      </c>
      <c r="Z136" s="13" t="s">
        <v>259</v>
      </c>
      <c r="AA136" s="13" t="s">
        <v>259</v>
      </c>
      <c r="AB136" s="264"/>
      <c r="AC136" s="2"/>
      <c r="AD136" s="1"/>
    </row>
    <row r="137" spans="1:30" ht="15" customHeight="1" x14ac:dyDescent="0.45">
      <c r="A137" s="289" t="s">
        <v>464</v>
      </c>
      <c r="B137" s="1" t="s">
        <v>376</v>
      </c>
      <c r="C137" s="1" t="s">
        <v>239</v>
      </c>
      <c r="D137" s="6" t="s">
        <v>323</v>
      </c>
      <c r="E137" s="6"/>
      <c r="F137" s="13" t="s">
        <v>54</v>
      </c>
      <c r="G137" s="156"/>
      <c r="H137" s="155"/>
      <c r="I137" s="246"/>
      <c r="J137" s="177"/>
      <c r="K137" s="41"/>
      <c r="L137" s="14" t="s">
        <v>54</v>
      </c>
      <c r="M137" s="14" t="s">
        <v>54</v>
      </c>
      <c r="N137" s="14" t="s">
        <v>54</v>
      </c>
      <c r="O137" s="14"/>
      <c r="P137" s="14"/>
      <c r="Q137" s="2"/>
      <c r="R137" s="2"/>
      <c r="S137" s="2" t="s">
        <v>233</v>
      </c>
      <c r="T137" s="2" t="str">
        <f>IF(Config!$B$2='Data Validations'!$E$2,Text!B137,IF(Config!$B$2='Data Validations'!$E$3,Text!C137,"Select a lanaguage in config"))</f>
        <v>Azure Arc allows any server outside of Azure to be surfaced in the Azure control plane. This allows for centralised management, including Security and Compliance controls within Defender for Cloud, for all servers wherever they reside, be that in Azure, AWS, GCP or on-premises. When used with Defender for Cloud only, there is zero cost to Azure Arc.</v>
      </c>
      <c r="U137" s="2" t="s">
        <v>612</v>
      </c>
      <c r="V137" s="120" t="s">
        <v>417</v>
      </c>
      <c r="W137" s="63" t="s">
        <v>465</v>
      </c>
      <c r="X137" s="26" t="s">
        <v>466</v>
      </c>
      <c r="Y137" s="26" t="s">
        <v>1264</v>
      </c>
      <c r="Z137" s="26" t="s">
        <v>1268</v>
      </c>
      <c r="AA137" s="2"/>
      <c r="AB137" s="264"/>
      <c r="AC137" s="2"/>
      <c r="AD137" s="2"/>
    </row>
    <row r="138" spans="1:30" ht="15" customHeight="1" x14ac:dyDescent="0.45">
      <c r="A138" s="289" t="s">
        <v>467</v>
      </c>
      <c r="B138" s="1" t="s">
        <v>376</v>
      </c>
      <c r="C138" s="1" t="s">
        <v>359</v>
      </c>
      <c r="D138" s="6" t="s">
        <v>323</v>
      </c>
      <c r="E138" s="6"/>
      <c r="F138" s="13" t="s">
        <v>54</v>
      </c>
      <c r="G138" s="168"/>
      <c r="H138" s="169"/>
      <c r="I138" s="251"/>
      <c r="J138" s="181"/>
      <c r="K138" s="41"/>
      <c r="L138" s="14" t="s">
        <v>54</v>
      </c>
      <c r="M138" s="14" t="s">
        <v>54</v>
      </c>
      <c r="N138" s="14" t="s">
        <v>54</v>
      </c>
      <c r="O138" s="14"/>
      <c r="P138" s="14"/>
      <c r="Q138" s="2"/>
      <c r="R138" s="2"/>
      <c r="S138" s="2" t="s">
        <v>305</v>
      </c>
      <c r="T138" s="2" t="str">
        <f>IF(Config!$B$2='Data Validations'!$E$2,Text!B138,IF(Config!$B$2='Data Validations'!$E$3,Text!C138,"Select a lanaguage in config"))</f>
        <v>Defender for Cloud Foundation Cloud Security Posture Management (CSPM) is for all services that have been surfaced into the Azure control plane, including virtual machines outside of Azure via Azure Arc. Foundation CSPM helps an organization identify and perform the standard hardening tasks recommended as security best practices and implement them across your machines, data services, and apps. The Foundation CSPM recommendations are presented at zero cost.</v>
      </c>
      <c r="U138" s="2" t="s">
        <v>382</v>
      </c>
      <c r="V138" s="120" t="s">
        <v>417</v>
      </c>
      <c r="W138" s="10" t="s">
        <v>468</v>
      </c>
      <c r="X138" s="26" t="s">
        <v>466</v>
      </c>
      <c r="Y138" s="26" t="s">
        <v>469</v>
      </c>
      <c r="Z138" s="26" t="s">
        <v>1268</v>
      </c>
      <c r="AA138" s="2" t="s">
        <v>238</v>
      </c>
      <c r="AB138" s="61" t="s">
        <v>470</v>
      </c>
      <c r="AC138" s="2"/>
      <c r="AD138" s="1"/>
    </row>
    <row r="139" spans="1:30" ht="15" customHeight="1" x14ac:dyDescent="0.45">
      <c r="A139" s="289" t="s">
        <v>471</v>
      </c>
      <c r="B139" s="1" t="s">
        <v>376</v>
      </c>
      <c r="C139" s="1" t="s">
        <v>239</v>
      </c>
      <c r="D139" s="6" t="str">
        <f>CONCATENATE(ROW(A138))</f>
        <v>138</v>
      </c>
      <c r="E139" s="6"/>
      <c r="F139" s="13" t="s">
        <v>54</v>
      </c>
      <c r="G139" s="153"/>
      <c r="H139" s="155"/>
      <c r="I139" s="245"/>
      <c r="J139" s="177"/>
      <c r="K139" s="41"/>
      <c r="L139" s="14" t="s">
        <v>54</v>
      </c>
      <c r="M139" s="14" t="s">
        <v>54</v>
      </c>
      <c r="N139" s="14" t="s">
        <v>54</v>
      </c>
      <c r="O139" s="14"/>
      <c r="P139" s="14"/>
      <c r="Q139" s="2"/>
      <c r="R139" s="2"/>
      <c r="S139" s="2" t="s">
        <v>305</v>
      </c>
      <c r="T139" s="2" t="str">
        <f>IF(Config!$B$2='Data Validations'!$E$2,Text!B139,IF(Config!$B$2='Data Validations'!$E$3,Text!C139,"Select a lanaguage in config"))</f>
        <v>Defender Cloud Security Posture Management (CSPM) is for all services that have been surfaced into the Azure control plane, including virtual machines outside of Azure via Azure Arc. Defender CSPM helps an organization identify and perform the hardening tasks recommended as security best practices and implement them across your machines, data services, and apps. Defender CPSM can provide deeper recommendations and response action via paid for workloads (such as Defender for Servers)</v>
      </c>
      <c r="U139" s="2" t="s">
        <v>382</v>
      </c>
      <c r="V139" s="120" t="s">
        <v>417</v>
      </c>
      <c r="W139" s="10" t="s">
        <v>468</v>
      </c>
      <c r="X139" s="26" t="s">
        <v>466</v>
      </c>
      <c r="Y139" s="26" t="s">
        <v>469</v>
      </c>
      <c r="Z139" s="26" t="s">
        <v>1268</v>
      </c>
      <c r="AA139" s="2" t="s">
        <v>238</v>
      </c>
      <c r="AB139" s="61" t="s">
        <v>470</v>
      </c>
      <c r="AC139" s="2"/>
      <c r="AD139" s="1"/>
    </row>
    <row r="140" spans="1:30" ht="15" customHeight="1" x14ac:dyDescent="0.45">
      <c r="A140" s="289" t="s">
        <v>472</v>
      </c>
      <c r="B140" s="1" t="s">
        <v>376</v>
      </c>
      <c r="C140" s="1" t="s">
        <v>239</v>
      </c>
      <c r="D140" s="6" t="str">
        <f>CONCATENATE(ROW(A126))</f>
        <v>126</v>
      </c>
      <c r="E140" s="6"/>
      <c r="F140" s="13" t="s">
        <v>54</v>
      </c>
      <c r="G140" s="156"/>
      <c r="H140" s="154"/>
      <c r="I140" s="245"/>
      <c r="J140" s="177"/>
      <c r="K140" s="41"/>
      <c r="L140" s="14" t="s">
        <v>54</v>
      </c>
      <c r="M140" s="14" t="s">
        <v>54</v>
      </c>
      <c r="N140" s="14" t="s">
        <v>54</v>
      </c>
      <c r="O140" s="14"/>
      <c r="P140" s="14"/>
      <c r="Q140" s="2"/>
      <c r="R140" s="2"/>
      <c r="S140" s="2" t="s">
        <v>305</v>
      </c>
      <c r="T140" s="2" t="str">
        <f>IF(Config!$B$2='Data Validations'!$E$2,Text!B140,IF(Config!$B$2='Data Validations'!$E$3,Text!C140,"Select a lanaguage in config"))</f>
        <v>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organizations entire estate.</v>
      </c>
      <c r="U140" s="2" t="s">
        <v>612</v>
      </c>
      <c r="V140" s="120" t="s">
        <v>417</v>
      </c>
      <c r="W140" s="38" t="s">
        <v>473</v>
      </c>
      <c r="X140" s="26" t="s">
        <v>466</v>
      </c>
      <c r="Y140" s="26" t="s">
        <v>474</v>
      </c>
      <c r="Z140" s="26" t="s">
        <v>1268</v>
      </c>
      <c r="AA140" s="2" t="s">
        <v>238</v>
      </c>
      <c r="AB140" s="61" t="s">
        <v>470</v>
      </c>
      <c r="AC140" s="2"/>
      <c r="AD140" s="1"/>
    </row>
    <row r="141" spans="1:30" ht="15" customHeight="1" x14ac:dyDescent="0.45">
      <c r="A141" s="289" t="s">
        <v>475</v>
      </c>
      <c r="B141" s="1" t="s">
        <v>376</v>
      </c>
      <c r="C141" s="1" t="s">
        <v>239</v>
      </c>
      <c r="D141" s="6" t="str">
        <f>CONCATENATE(ROW(A126))</f>
        <v>126</v>
      </c>
      <c r="E141" s="6"/>
      <c r="F141" s="13" t="s">
        <v>54</v>
      </c>
      <c r="G141" s="156"/>
      <c r="H141" s="154"/>
      <c r="I141" s="245"/>
      <c r="J141" s="177"/>
      <c r="K141" s="41"/>
      <c r="L141" s="14" t="s">
        <v>54</v>
      </c>
      <c r="M141" s="14" t="s">
        <v>54</v>
      </c>
      <c r="N141" s="14" t="s">
        <v>54</v>
      </c>
      <c r="O141" s="14"/>
      <c r="P141" s="14"/>
      <c r="Q141" s="2"/>
      <c r="R141" s="2"/>
      <c r="S141" s="2" t="s">
        <v>305</v>
      </c>
      <c r="T141" s="2" t="str">
        <f>IF(Config!$B$2='Data Validations'!$E$2,Text!B141,IF(Config!$B$2='Data Validations'!$E$3,Text!C141,"Select a lanaguage in config"))</f>
        <v>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organizations conform to standards such as ISO 27001 or CIS controls.</v>
      </c>
      <c r="U141" s="2" t="s">
        <v>612</v>
      </c>
      <c r="V141" s="120" t="s">
        <v>417</v>
      </c>
      <c r="W141" s="38" t="s">
        <v>473</v>
      </c>
      <c r="X141" s="26" t="s">
        <v>466</v>
      </c>
      <c r="Y141" s="26" t="s">
        <v>474</v>
      </c>
      <c r="Z141" s="26" t="s">
        <v>1268</v>
      </c>
      <c r="AA141" s="2" t="s">
        <v>238</v>
      </c>
      <c r="AB141" s="61" t="s">
        <v>470</v>
      </c>
      <c r="AC141" s="2"/>
      <c r="AD141" s="1"/>
    </row>
    <row r="142" spans="1:30" ht="15" customHeight="1" x14ac:dyDescent="0.45">
      <c r="A142" s="289" t="s">
        <v>476</v>
      </c>
      <c r="B142" s="1" t="s">
        <v>376</v>
      </c>
      <c r="C142" s="1" t="s">
        <v>239</v>
      </c>
      <c r="D142" s="6" t="s">
        <v>323</v>
      </c>
      <c r="E142" s="6"/>
      <c r="F142" s="13" t="s">
        <v>54</v>
      </c>
      <c r="G142" s="153"/>
      <c r="H142" s="155"/>
      <c r="I142" s="245"/>
      <c r="J142" s="177"/>
      <c r="K142" s="41"/>
      <c r="L142" s="14" t="s">
        <v>54</v>
      </c>
      <c r="M142" s="14" t="s">
        <v>54</v>
      </c>
      <c r="N142" s="14" t="s">
        <v>54</v>
      </c>
      <c r="O142" s="14"/>
      <c r="P142" s="14"/>
      <c r="Q142" s="2"/>
      <c r="R142" s="2"/>
      <c r="S142" s="2" t="s">
        <v>305</v>
      </c>
      <c r="T142" s="2" t="str">
        <f>IF(Config!$B$2='Data Validations'!$E$2,Text!B142,IF(Config!$B$2='Data Validations'!$E$3,Text!C142,"Select a lanaguage in config"))</f>
        <v>Microsoft Defender for Storage is an Azure-native layer of security intelligence that detects unusual and potentially harmful attempts to access or exploit an organizations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v>
      </c>
      <c r="U142" s="2" t="s">
        <v>612</v>
      </c>
      <c r="V142" s="120" t="s">
        <v>417</v>
      </c>
      <c r="W142" s="38" t="s">
        <v>473</v>
      </c>
      <c r="X142" s="26" t="s">
        <v>466</v>
      </c>
      <c r="Y142" s="26" t="s">
        <v>477</v>
      </c>
      <c r="Z142" s="26" t="s">
        <v>1268</v>
      </c>
      <c r="AA142" s="2" t="s">
        <v>238</v>
      </c>
      <c r="AB142" s="61" t="s">
        <v>470</v>
      </c>
      <c r="AC142" s="2"/>
      <c r="AD142" s="1"/>
    </row>
    <row r="143" spans="1:30" ht="15" customHeight="1" x14ac:dyDescent="0.45">
      <c r="A143" s="289" t="s">
        <v>478</v>
      </c>
      <c r="B143" s="1" t="s">
        <v>376</v>
      </c>
      <c r="C143" s="1" t="s">
        <v>239</v>
      </c>
      <c r="D143" s="6" t="s">
        <v>323</v>
      </c>
      <c r="E143" s="6"/>
      <c r="F143" s="13" t="s">
        <v>54</v>
      </c>
      <c r="G143" s="153"/>
      <c r="H143" s="155"/>
      <c r="I143" s="245"/>
      <c r="J143" s="177"/>
      <c r="K143" s="41"/>
      <c r="L143" s="14" t="s">
        <v>54</v>
      </c>
      <c r="M143" s="14" t="s">
        <v>54</v>
      </c>
      <c r="N143" s="14" t="s">
        <v>54</v>
      </c>
      <c r="O143" s="14"/>
      <c r="P143" s="14"/>
      <c r="Q143" s="2"/>
      <c r="R143" s="2"/>
      <c r="S143" s="2" t="s">
        <v>305</v>
      </c>
      <c r="T143" s="2" t="str">
        <f>IF(Config!$B$2='Data Validations'!$E$2,Text!B143,IF(Config!$B$2='Data Validations'!$E$3,Text!C143,"Select a lanaguage in config"))</f>
        <v>The vulnerability assessment service discovers, tracks, and helps remediate potential database vulnerabilities. Assessment scans provide an overview of an SQL machines' security state, and details of any security findings, including detecting anomalous activities that could indicate threats to the databases. The advanced threat protection service continuously monitors SQL servers for threats such as SQL injection, brute-force attacks, and privilege abuse. This service provides action-oriented security alerts in Microsoft Defender for Cloud with details of the suspicious activity, guidance on how to mitigate to the threats, and options for continuing the investigations with Microsoft Sentinel. All alerts are surfaced into the Defender for Cloud console giving a unified view of security across your infrastructure. All alerts are surfaced into the Defender for Cloud console giving a unified view of security across your infrastructure</v>
      </c>
      <c r="U143" s="2" t="s">
        <v>612</v>
      </c>
      <c r="V143" s="120" t="s">
        <v>417</v>
      </c>
      <c r="W143" s="38" t="s">
        <v>473</v>
      </c>
      <c r="X143" s="26" t="s">
        <v>466</v>
      </c>
      <c r="Y143" s="26" t="s">
        <v>479</v>
      </c>
      <c r="Z143" s="26" t="s">
        <v>1269</v>
      </c>
      <c r="AA143" s="2" t="s">
        <v>238</v>
      </c>
      <c r="AB143" s="61" t="s">
        <v>470</v>
      </c>
      <c r="AC143" s="2"/>
      <c r="AD143" s="1"/>
    </row>
    <row r="144" spans="1:30" ht="15" customHeight="1" x14ac:dyDescent="0.45">
      <c r="A144" s="289" t="s">
        <v>480</v>
      </c>
      <c r="B144" s="1" t="s">
        <v>376</v>
      </c>
      <c r="C144" s="1" t="s">
        <v>239</v>
      </c>
      <c r="D144" s="6" t="s">
        <v>323</v>
      </c>
      <c r="E144" s="6"/>
      <c r="F144" s="13" t="s">
        <v>54</v>
      </c>
      <c r="G144" s="153"/>
      <c r="H144" s="155"/>
      <c r="I144" s="245"/>
      <c r="J144" s="177"/>
      <c r="K144" s="41"/>
      <c r="L144" s="14" t="s">
        <v>54</v>
      </c>
      <c r="M144" s="14" t="s">
        <v>54</v>
      </c>
      <c r="N144" s="14" t="s">
        <v>54</v>
      </c>
      <c r="O144" s="14"/>
      <c r="P144" s="14"/>
      <c r="Q144" s="2"/>
      <c r="R144" s="2"/>
      <c r="S144" s="2" t="s">
        <v>305</v>
      </c>
      <c r="T144" s="2" t="str">
        <f>IF(Config!$B$2='Data Validations'!$E$2,Text!B144,IF(Config!$B$2='Data Validations'!$E$3,Text!C144,"Select a lanaguage in config"))</f>
        <v>Microsoft Defender for Containers is the cloud-native solution that is used to secure your containers so you can improve, monitor, and maintain the security of your clusters, containers, and their applications. Defender for Containers assists you with the three core aspects of container security: Environmental Hardening; Vulnerability Assessment; Real-time threat protection for nodes and clusters. All alerts are surfaced into the Defender for Cloud console giving a unified view of security across your infrastructure</v>
      </c>
      <c r="U144" s="2" t="s">
        <v>612</v>
      </c>
      <c r="V144" s="120" t="s">
        <v>417</v>
      </c>
      <c r="W144" s="38" t="s">
        <v>473</v>
      </c>
      <c r="X144" s="26" t="s">
        <v>466</v>
      </c>
      <c r="Y144" s="26" t="s">
        <v>474</v>
      </c>
      <c r="Z144" s="26" t="s">
        <v>1268</v>
      </c>
      <c r="AA144" s="2" t="s">
        <v>238</v>
      </c>
      <c r="AB144" s="266" t="s">
        <v>466</v>
      </c>
      <c r="AC144" s="26" t="s">
        <v>474</v>
      </c>
      <c r="AD144" s="26"/>
    </row>
    <row r="145" spans="1:30" ht="15" customHeight="1" x14ac:dyDescent="0.45">
      <c r="A145" s="289" t="s">
        <v>481</v>
      </c>
      <c r="B145" s="1" t="s">
        <v>376</v>
      </c>
      <c r="C145" s="1" t="s">
        <v>239</v>
      </c>
      <c r="D145" s="6" t="s">
        <v>323</v>
      </c>
      <c r="E145" s="6"/>
      <c r="F145" s="13" t="s">
        <v>54</v>
      </c>
      <c r="G145" s="153"/>
      <c r="H145" s="155"/>
      <c r="I145" s="245"/>
      <c r="J145" s="177"/>
      <c r="K145" s="41"/>
      <c r="L145" s="14" t="s">
        <v>54</v>
      </c>
      <c r="M145" s="14" t="s">
        <v>54</v>
      </c>
      <c r="N145" s="14" t="s">
        <v>54</v>
      </c>
      <c r="O145" s="14"/>
      <c r="P145" s="14"/>
      <c r="Q145" s="2"/>
      <c r="R145" s="2"/>
      <c r="S145" s="2" t="s">
        <v>305</v>
      </c>
      <c r="T145" s="2" t="str">
        <f>IF(Config!$B$2='Data Validations'!$E$2,Text!B145,IF(Config!$B$2='Data Validations'!$E$3,Text!C145,"Select a lanaguage in config"))</f>
        <v>Azure Key Vault is a cloud service that safeguards encryption keys and secrets like certificates, connection strings, and passwords. Enabling Microsoft Defender for Key Vault for Azure-native, advanced threat protection for Azure Key Vault, providing an additional layer of security intelligence. All alerts are surfaced into the Defender for Cloud console giving a unified view of security across your infrastructure.</v>
      </c>
      <c r="U145" s="2" t="s">
        <v>612</v>
      </c>
      <c r="V145" s="120" t="s">
        <v>417</v>
      </c>
      <c r="W145" s="38" t="s">
        <v>473</v>
      </c>
      <c r="X145" s="26" t="s">
        <v>466</v>
      </c>
      <c r="Y145" s="26" t="s">
        <v>482</v>
      </c>
      <c r="Z145" s="26" t="s">
        <v>1268</v>
      </c>
      <c r="AA145" s="2" t="s">
        <v>238</v>
      </c>
      <c r="AB145" s="61" t="s">
        <v>470</v>
      </c>
      <c r="AC145" s="2"/>
      <c r="AD145" s="1"/>
    </row>
    <row r="146" spans="1:30" ht="15" customHeight="1" x14ac:dyDescent="0.45">
      <c r="A146" s="289" t="s">
        <v>483</v>
      </c>
      <c r="B146" s="1" t="s">
        <v>376</v>
      </c>
      <c r="C146" s="1" t="s">
        <v>239</v>
      </c>
      <c r="D146" s="6" t="s">
        <v>323</v>
      </c>
      <c r="E146" s="6"/>
      <c r="F146" s="13" t="s">
        <v>54</v>
      </c>
      <c r="G146" s="153"/>
      <c r="H146" s="155"/>
      <c r="I146" s="245"/>
      <c r="J146" s="177"/>
      <c r="K146" s="41"/>
      <c r="L146" s="14" t="s">
        <v>54</v>
      </c>
      <c r="M146" s="14" t="s">
        <v>54</v>
      </c>
      <c r="N146" s="14" t="s">
        <v>54</v>
      </c>
      <c r="O146" s="14"/>
      <c r="P146" s="14"/>
      <c r="Q146" s="2"/>
      <c r="R146" s="2"/>
      <c r="S146" s="2" t="s">
        <v>305</v>
      </c>
      <c r="T146" s="2" t="str">
        <f>IF(Config!$B$2='Data Validations'!$E$2,Text!B146,IF(Config!$B$2='Data Validations'!$E$3,Text!C146,"Select a lanaguage in config"))</f>
        <v>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organizations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v>
      </c>
      <c r="U146" s="2" t="s">
        <v>612</v>
      </c>
      <c r="V146" s="120" t="s">
        <v>417</v>
      </c>
      <c r="W146" s="38" t="s">
        <v>473</v>
      </c>
      <c r="X146" s="26" t="s">
        <v>466</v>
      </c>
      <c r="Y146" s="26" t="s">
        <v>482</v>
      </c>
      <c r="Z146" s="26" t="s">
        <v>1268</v>
      </c>
      <c r="AA146" s="2" t="s">
        <v>238</v>
      </c>
      <c r="AB146" s="61" t="s">
        <v>470</v>
      </c>
      <c r="AC146" s="2"/>
      <c r="AD146" s="1"/>
    </row>
    <row r="147" spans="1:30" ht="15" customHeight="1" x14ac:dyDescent="0.45">
      <c r="A147" s="289" t="s">
        <v>484</v>
      </c>
      <c r="B147" s="1" t="s">
        <v>376</v>
      </c>
      <c r="C147" s="1" t="s">
        <v>239</v>
      </c>
      <c r="D147" s="6" t="s">
        <v>323</v>
      </c>
      <c r="E147" s="6"/>
      <c r="F147" s="13" t="s">
        <v>54</v>
      </c>
      <c r="G147" s="153"/>
      <c r="H147" s="155"/>
      <c r="I147" s="245"/>
      <c r="J147" s="177"/>
      <c r="K147" s="41"/>
      <c r="L147" s="14" t="s">
        <v>54</v>
      </c>
      <c r="M147" s="14" t="s">
        <v>54</v>
      </c>
      <c r="N147" s="14" t="s">
        <v>54</v>
      </c>
      <c r="O147" s="14"/>
      <c r="P147" s="14"/>
      <c r="Q147" s="2"/>
      <c r="R147" s="2"/>
      <c r="S147" s="2" t="s">
        <v>305</v>
      </c>
      <c r="T147" s="2" t="str">
        <f>IF(Config!$B$2='Data Validations'!$E$2,Text!B147,IF(Config!$B$2='Data Validations'!$E$3,Text!C147,"Select a lanaguage in config"))</f>
        <v>Microsoft Defender for DNS provides an additional layer of protection for resources that use Azure DNS's Azure-provided name resolution capability. From within Azure DNS, Defender for DNS monitors the queries from these resources and detects suspicious activities without the need for any additional agents on your resources. All alerts are surfaced into the Defender for Cloud console giving a unified view of security across your infrastructure.</v>
      </c>
      <c r="U147" s="2" t="s">
        <v>612</v>
      </c>
      <c r="V147" s="120" t="s">
        <v>417</v>
      </c>
      <c r="W147" s="38" t="s">
        <v>473</v>
      </c>
      <c r="X147" s="26" t="s">
        <v>466</v>
      </c>
      <c r="Y147" s="26" t="s">
        <v>482</v>
      </c>
      <c r="Z147" s="26" t="s">
        <v>1268</v>
      </c>
      <c r="AA147" s="2" t="s">
        <v>238</v>
      </c>
      <c r="AB147" s="61" t="s">
        <v>470</v>
      </c>
      <c r="AC147" s="2"/>
      <c r="AD147" s="1"/>
    </row>
    <row r="148" spans="1:30" ht="15" customHeight="1" x14ac:dyDescent="0.45">
      <c r="A148" s="289" t="s">
        <v>485</v>
      </c>
      <c r="B148" s="1" t="s">
        <v>376</v>
      </c>
      <c r="C148" s="1" t="s">
        <v>239</v>
      </c>
      <c r="D148" s="6" t="s">
        <v>323</v>
      </c>
      <c r="E148" s="6"/>
      <c r="F148" s="13" t="s">
        <v>54</v>
      </c>
      <c r="G148" s="153"/>
      <c r="H148" s="155"/>
      <c r="I148" s="245"/>
      <c r="J148" s="177"/>
      <c r="K148" s="41"/>
      <c r="L148" s="14" t="s">
        <v>54</v>
      </c>
      <c r="M148" s="14" t="s">
        <v>54</v>
      </c>
      <c r="N148" s="14" t="s">
        <v>54</v>
      </c>
      <c r="O148" s="14"/>
      <c r="P148" s="14"/>
      <c r="Q148" s="2"/>
      <c r="R148" s="2"/>
      <c r="S148" s="2" t="s">
        <v>305</v>
      </c>
      <c r="T148" s="2" t="str">
        <f>IF(Config!$B$2='Data Validations'!$E$2,Text!B148,IF(Config!$B$2='Data Validations'!$E$3,Text!C148,"Select a lanaguage in config"))</f>
        <v>Azure App Service is a fully managed platform for building and hosting web apps and APIs. Microsoft Defender for App Service uses the scale of the cloud to identify attacks targeting applications running over App Service. Attackers probe web applications to find and exploit weaknesses. Before being routed to specific environments, requests to applications running in Azure go through several gateways, where they're inspected and logged. This data is then used to identify exploits and attackers, and to learn new patterns that will be used later. All alerts are surfaced into the Defender for Cloud console giving a unified view of security across your infrastructure.</v>
      </c>
      <c r="U148" s="2" t="s">
        <v>612</v>
      </c>
      <c r="V148" s="120" t="s">
        <v>417</v>
      </c>
      <c r="W148" s="38" t="s">
        <v>473</v>
      </c>
      <c r="X148" s="26" t="s">
        <v>466</v>
      </c>
      <c r="Y148" s="26" t="s">
        <v>482</v>
      </c>
      <c r="Z148" s="26" t="s">
        <v>1269</v>
      </c>
      <c r="AA148" s="2" t="s">
        <v>238</v>
      </c>
      <c r="AB148" s="61" t="s">
        <v>470</v>
      </c>
      <c r="AC148" s="2"/>
      <c r="AD148" s="1"/>
    </row>
    <row r="149" spans="1:30" ht="15" customHeight="1" x14ac:dyDescent="0.45">
      <c r="A149" s="289" t="s">
        <v>486</v>
      </c>
      <c r="B149" s="1" t="s">
        <v>376</v>
      </c>
      <c r="C149" s="1" t="s">
        <v>239</v>
      </c>
      <c r="D149" s="6" t="s">
        <v>323</v>
      </c>
      <c r="E149" s="6"/>
      <c r="F149" s="13" t="s">
        <v>54</v>
      </c>
      <c r="G149" s="153"/>
      <c r="H149" s="155"/>
      <c r="I149" s="245"/>
      <c r="J149" s="177"/>
      <c r="K149" s="41"/>
      <c r="L149" s="14" t="s">
        <v>54</v>
      </c>
      <c r="M149" s="14" t="s">
        <v>54</v>
      </c>
      <c r="N149" s="14" t="s">
        <v>54</v>
      </c>
      <c r="O149" s="14"/>
      <c r="P149" s="14"/>
      <c r="Q149" s="2"/>
      <c r="R149" s="2"/>
      <c r="S149" s="2" t="s">
        <v>305</v>
      </c>
      <c r="T149" s="2" t="str">
        <f>IF(Config!$B$2='Data Validations'!$E$2,Text!B149,IF(Config!$B$2='Data Validations'!$E$3,Text!C149,"Select a lanaguage in config"))</f>
        <v>Microsoft Defender for open-source relational databases bring threat protection for to Azure Database for PostgreSQL, Azure Database for MySQL and Azure Database for MariaDB. The service detects anomalous activities indicating unusual and potentially harmful attempts to access or exploit databases. The service makes it simple to address potential threats to databases without the need to be a security expert or manage advanced security monitoring systems. All alerts are surfaced into the Defender for Cloud console giving a unified view of security across your infrastructure.</v>
      </c>
      <c r="U149" s="2" t="s">
        <v>612</v>
      </c>
      <c r="V149" s="120" t="s">
        <v>417</v>
      </c>
      <c r="W149" s="38" t="s">
        <v>473</v>
      </c>
      <c r="X149" s="26" t="s">
        <v>466</v>
      </c>
      <c r="Y149" s="26" t="s">
        <v>479</v>
      </c>
      <c r="Z149" s="26" t="s">
        <v>1269</v>
      </c>
      <c r="AA149" s="2" t="s">
        <v>238</v>
      </c>
      <c r="AB149" s="264"/>
      <c r="AC149" s="2"/>
      <c r="AD149" s="2"/>
    </row>
    <row r="150" spans="1:30" ht="15" customHeight="1" x14ac:dyDescent="0.45">
      <c r="A150" s="289" t="s">
        <v>1251</v>
      </c>
      <c r="B150" s="1" t="s">
        <v>376</v>
      </c>
      <c r="C150" s="1" t="s">
        <v>239</v>
      </c>
      <c r="D150" s="6" t="s">
        <v>323</v>
      </c>
      <c r="E150" s="6"/>
      <c r="F150" s="13" t="s">
        <v>54</v>
      </c>
      <c r="G150" s="153"/>
      <c r="H150" s="155"/>
      <c r="I150" s="245"/>
      <c r="J150" s="177"/>
      <c r="K150" s="41"/>
      <c r="L150" s="14" t="s">
        <v>54</v>
      </c>
      <c r="M150" s="14" t="s">
        <v>54</v>
      </c>
      <c r="N150" s="14" t="s">
        <v>54</v>
      </c>
      <c r="O150" s="14"/>
      <c r="P150" s="14"/>
      <c r="Q150" s="2"/>
      <c r="R150" s="2"/>
      <c r="S150" s="2" t="s">
        <v>305</v>
      </c>
      <c r="T150" s="2" t="str">
        <f>IF(Config!$B$2='Data Validations'!$E$2,Text!B150,IF(Config!$B$2='Data Validations'!$E$3,Text!C150,"Select a lanaguage in config"))</f>
        <v>Microsoft Defender for Cloud enables comprehensive visibility, posture management, and threat protection across multicloud environments including Azure, AWS, GCP, and on-premises resources. Defender for DevOps, a service available in Defender for Cloud, empowers security teams to manage DevOps security across multi-pipeline environments. Defender for DevOps uses a central console to empower security teams with the ability to protect applications and resources from code to cloud across multi-pipeline environments, such as GitHub and Azure DevOps. Findings from Defender for DevOps can then be correlated with other contextual cloud security insights to prioritise remediation in code.</v>
      </c>
      <c r="U150" s="2" t="s">
        <v>1217</v>
      </c>
      <c r="V150" s="120" t="s">
        <v>417</v>
      </c>
      <c r="W150" s="38" t="s">
        <v>487</v>
      </c>
      <c r="X150" s="26" t="s">
        <v>466</v>
      </c>
      <c r="Y150" s="26" t="s">
        <v>488</v>
      </c>
      <c r="Z150" s="26" t="s">
        <v>1269</v>
      </c>
      <c r="AA150" s="2" t="s">
        <v>238</v>
      </c>
      <c r="AB150" s="264"/>
      <c r="AC150" s="2"/>
      <c r="AD150" s="2"/>
    </row>
    <row r="151" spans="1:30" ht="15" customHeight="1" x14ac:dyDescent="0.45">
      <c r="A151" s="289" t="s">
        <v>489</v>
      </c>
      <c r="B151" s="1" t="s">
        <v>376</v>
      </c>
      <c r="C151" s="1" t="s">
        <v>239</v>
      </c>
      <c r="D151" s="6" t="s">
        <v>323</v>
      </c>
      <c r="E151" s="6"/>
      <c r="F151" s="13" t="s">
        <v>54</v>
      </c>
      <c r="G151" s="156"/>
      <c r="H151" s="157"/>
      <c r="I151" s="256"/>
      <c r="J151" s="177"/>
      <c r="K151" s="41"/>
      <c r="L151" s="14" t="s">
        <v>54</v>
      </c>
      <c r="M151" s="14" t="s">
        <v>54</v>
      </c>
      <c r="N151" s="14" t="s">
        <v>54</v>
      </c>
      <c r="O151" s="14"/>
      <c r="P151" s="14"/>
      <c r="Q151" s="2"/>
      <c r="R151" s="2"/>
      <c r="S151" s="2" t="s">
        <v>305</v>
      </c>
      <c r="T151" s="2" t="str">
        <f>IF(Config!$B$2='Data Validations'!$E$2,Text!B151,IF(Config!$B$2='Data Validations'!$E$3,Text!C151,"Select a lanaguage in config"))</f>
        <v>The Internet of Things (IoT) supports billions of connected devices that use operational technology (OT) networks. IoT/OT devices and networks are often designed without prioritizing security, and therefore can't be protected by traditional systems. With each new wave of innovation, the risk to IoT devices and OT networks increases the possible attack surfaces. Microsoft Defender for IoT is a unified security solution for identifying IoT and OT devices, vulnerabilities, and threats. With Defender for IoT, you can manage them through a central interface. All alerts are surfaced into the Defender for Cloud console giving a unified view of security across your infrastructure.</v>
      </c>
      <c r="U151" s="2" t="s">
        <v>612</v>
      </c>
      <c r="V151" s="120" t="s">
        <v>417</v>
      </c>
      <c r="W151" s="38" t="s">
        <v>473</v>
      </c>
      <c r="X151" s="26" t="s">
        <v>466</v>
      </c>
      <c r="Y151" s="26" t="s">
        <v>490</v>
      </c>
      <c r="Z151" s="26" t="s">
        <v>1268</v>
      </c>
      <c r="AA151" s="2" t="s">
        <v>238</v>
      </c>
      <c r="AB151" s="264"/>
      <c r="AC151" s="2"/>
      <c r="AD151" s="2"/>
    </row>
    <row r="152" spans="1:30" ht="15" customHeight="1" x14ac:dyDescent="0.45">
      <c r="A152" s="289" t="s">
        <v>1487</v>
      </c>
      <c r="B152" s="1" t="s">
        <v>376</v>
      </c>
      <c r="C152" s="1" t="s">
        <v>239</v>
      </c>
      <c r="D152" s="148" t="s">
        <v>323</v>
      </c>
      <c r="E152" s="148"/>
      <c r="F152" s="13" t="s">
        <v>54</v>
      </c>
      <c r="G152" s="155"/>
      <c r="H152" s="256"/>
      <c r="I152" s="256"/>
      <c r="J152" s="177"/>
      <c r="K152" s="278"/>
      <c r="L152" s="14" t="s">
        <v>54</v>
      </c>
      <c r="M152" s="14" t="s">
        <v>54</v>
      </c>
      <c r="N152" s="14" t="s">
        <v>54</v>
      </c>
      <c r="O152" s="14"/>
      <c r="P152" s="14"/>
      <c r="Q152" s="14"/>
      <c r="R152" s="2"/>
      <c r="S152" s="2" t="s">
        <v>305</v>
      </c>
      <c r="T152" s="2" t="str">
        <f>IF(Config!$B$2='Data Validations'!$E$2,Text!B152,IF(Config!$B$2='Data Validations'!$E$3,Text!C152,"Select a lanaguage in config"))</f>
        <v>Provides real‑time runtime threat protection for generative AI applications and agents, detecting and blocking attacks such as prompt injection, jailbreak attempts, data leakage, and credential exposure during AI execution. Operates at the subscription and workload level and integrates with Defender XDR for centralized security operations.</v>
      </c>
      <c r="U152" s="2" t="s">
        <v>612</v>
      </c>
      <c r="V152" s="120" t="s">
        <v>417</v>
      </c>
      <c r="W152" s="38" t="s">
        <v>473</v>
      </c>
      <c r="X152" s="26" t="s">
        <v>466</v>
      </c>
      <c r="Y152" s="26" t="s">
        <v>1489</v>
      </c>
      <c r="Z152" s="26" t="s">
        <v>256</v>
      </c>
      <c r="AA152" s="2" t="s">
        <v>238</v>
      </c>
      <c r="AB152" s="264"/>
      <c r="AD152" s="2"/>
    </row>
    <row r="153" spans="1:30" ht="15" customHeight="1" x14ac:dyDescent="0.45">
      <c r="A153" s="305" t="s">
        <v>491</v>
      </c>
      <c r="B153" s="13" t="s">
        <v>259</v>
      </c>
      <c r="C153" s="13" t="s">
        <v>259</v>
      </c>
      <c r="D153" s="13" t="s">
        <v>259</v>
      </c>
      <c r="E153" s="13" t="s">
        <v>259</v>
      </c>
      <c r="F153" s="13" t="s">
        <v>259</v>
      </c>
      <c r="G153" s="151" t="s">
        <v>259</v>
      </c>
      <c r="H153" s="152" t="s">
        <v>259</v>
      </c>
      <c r="I153" s="244" t="s">
        <v>259</v>
      </c>
      <c r="J153" s="175" t="s">
        <v>259</v>
      </c>
      <c r="K153" s="259" t="s">
        <v>259</v>
      </c>
      <c r="L153" s="152" t="s">
        <v>259</v>
      </c>
      <c r="M153" s="152" t="s">
        <v>259</v>
      </c>
      <c r="N153" s="152" t="s">
        <v>259</v>
      </c>
      <c r="O153" s="2" t="s">
        <v>259</v>
      </c>
      <c r="P153" s="2" t="s">
        <v>259</v>
      </c>
      <c r="Q153" s="2" t="s">
        <v>259</v>
      </c>
      <c r="R153" s="2" t="s">
        <v>259</v>
      </c>
      <c r="S153" s="2" t="s">
        <v>259</v>
      </c>
      <c r="T153" s="2" t="str">
        <f>IF(Config!$B$2='Data Validations'!$E$2,Text!B153,IF(Config!$B$2='Data Validations'!$E$3,Text!C153,"Select a lanaguage in config"))</f>
        <v>_</v>
      </c>
      <c r="U153" s="2" t="s">
        <v>259</v>
      </c>
      <c r="V153" s="2" t="s">
        <v>259</v>
      </c>
      <c r="W153" s="2" t="s">
        <v>259</v>
      </c>
      <c r="X153" s="2" t="s">
        <v>259</v>
      </c>
      <c r="Y153" s="2" t="s">
        <v>259</v>
      </c>
      <c r="Z153" s="2" t="s">
        <v>259</v>
      </c>
      <c r="AA153" s="2" t="s">
        <v>259</v>
      </c>
      <c r="AB153" s="264"/>
      <c r="AC153" s="2"/>
      <c r="AD153" s="2"/>
    </row>
    <row r="154" spans="1:30" ht="15" customHeight="1" x14ac:dyDescent="0.45">
      <c r="A154" s="289" t="s">
        <v>112</v>
      </c>
      <c r="B154" s="1" t="s">
        <v>376</v>
      </c>
      <c r="C154" s="1" t="s">
        <v>239</v>
      </c>
      <c r="D154" s="6" t="s">
        <v>323</v>
      </c>
      <c r="E154" s="6"/>
      <c r="F154" s="13" t="s">
        <v>54</v>
      </c>
      <c r="G154" s="156"/>
      <c r="H154" s="154"/>
      <c r="I154" s="246"/>
      <c r="J154" s="177"/>
      <c r="K154" s="41"/>
      <c r="L154" s="14" t="s">
        <v>54</v>
      </c>
      <c r="M154" s="14" t="s">
        <v>54</v>
      </c>
      <c r="N154" s="14" t="s">
        <v>54</v>
      </c>
      <c r="O154" s="14"/>
      <c r="P154" s="14"/>
      <c r="Q154" s="2"/>
      <c r="R154" s="2"/>
      <c r="S154" s="2" t="s">
        <v>305</v>
      </c>
      <c r="T154" s="2" t="str">
        <f>IF(Config!$B$2='Data Validations'!$E$2,Text!B154,IF(Config!$B$2='Data Validations'!$E$3,Text!C154,"Select a lanaguage in config"))</f>
        <v>Azure Firewall is a cloud-native and intelligent network firewall security service that provides the best of breed threat protection for cloud workloads running in Azure. It's a fully stateful, firewall as a service with built-in high availability and unrestricted cloud scalability. It provides both east-west and north-south traffic inspection. Using Azure P2S and S2S VPNs, all traffic can be routed through Azure Firewall to give a complete view of all network traffic. These alerts can be surface in Defender for Cloud console giving a unified view of security across your infrastructure.</v>
      </c>
      <c r="U154" s="2" t="s">
        <v>492</v>
      </c>
      <c r="V154" s="120" t="s">
        <v>417</v>
      </c>
      <c r="W154" s="38" t="s">
        <v>473</v>
      </c>
      <c r="X154" s="26" t="s">
        <v>466</v>
      </c>
      <c r="Y154" s="26" t="s">
        <v>447</v>
      </c>
      <c r="Z154" s="26" t="s">
        <v>447</v>
      </c>
      <c r="AA154" s="2"/>
      <c r="AB154" s="264"/>
      <c r="AC154" s="2"/>
      <c r="AD154" s="2"/>
    </row>
    <row r="155" spans="1:30" ht="15" customHeight="1" x14ac:dyDescent="0.45">
      <c r="A155" s="289" t="s">
        <v>493</v>
      </c>
      <c r="B155" s="1" t="s">
        <v>376</v>
      </c>
      <c r="C155" s="1" t="s">
        <v>239</v>
      </c>
      <c r="D155" s="6" t="s">
        <v>323</v>
      </c>
      <c r="E155" s="6"/>
      <c r="F155" s="13" t="s">
        <v>54</v>
      </c>
      <c r="G155" s="153"/>
      <c r="H155" s="155"/>
      <c r="I155" s="245"/>
      <c r="J155" s="177"/>
      <c r="K155" s="41"/>
      <c r="L155" s="14" t="s">
        <v>54</v>
      </c>
      <c r="M155" s="14" t="s">
        <v>54</v>
      </c>
      <c r="N155" s="14" t="s">
        <v>54</v>
      </c>
      <c r="O155" s="14"/>
      <c r="P155" s="14"/>
      <c r="Q155" s="2"/>
      <c r="R155" s="2"/>
      <c r="S155" s="2" t="s">
        <v>305</v>
      </c>
      <c r="T155" s="2" t="str">
        <f>IF(Config!$B$2='Data Validations'!$E$2,Text!B155,IF(Config!$B$2='Data Validations'!$E$3,Text!C155,"Select a lanaguage in config"))</f>
        <v>Distributed denial of service (DDoS) attacks are some of the largest availability and security concerns facing organizations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v>
      </c>
      <c r="U155" s="2" t="s">
        <v>492</v>
      </c>
      <c r="V155" s="120" t="s">
        <v>417</v>
      </c>
      <c r="W155" s="38" t="s">
        <v>473</v>
      </c>
      <c r="X155" s="26" t="s">
        <v>466</v>
      </c>
      <c r="Y155" s="26" t="s">
        <v>447</v>
      </c>
      <c r="Z155" s="26" t="s">
        <v>447</v>
      </c>
      <c r="AA155" s="2"/>
      <c r="AB155" s="264"/>
      <c r="AC155" s="2"/>
      <c r="AD155" s="2"/>
    </row>
    <row r="156" spans="1:30" ht="15" customHeight="1" x14ac:dyDescent="0.45">
      <c r="A156" s="289" t="s">
        <v>113</v>
      </c>
      <c r="B156" s="1" t="s">
        <v>376</v>
      </c>
      <c r="C156" s="1" t="s">
        <v>239</v>
      </c>
      <c r="D156" s="6" t="s">
        <v>323</v>
      </c>
      <c r="E156" s="6"/>
      <c r="F156" s="13" t="s">
        <v>54</v>
      </c>
      <c r="G156" s="153"/>
      <c r="H156" s="154"/>
      <c r="I156" s="245"/>
      <c r="J156" s="177"/>
      <c r="K156" s="41"/>
      <c r="L156" s="14" t="s">
        <v>54</v>
      </c>
      <c r="M156" s="14" t="s">
        <v>54</v>
      </c>
      <c r="N156" s="14" t="s">
        <v>54</v>
      </c>
      <c r="O156" s="14"/>
      <c r="P156" s="14"/>
      <c r="Q156" s="2"/>
      <c r="R156" s="2"/>
      <c r="S156" s="2" t="s">
        <v>305</v>
      </c>
      <c r="T156" s="2" t="str">
        <f>IF(Config!$B$2='Data Validations'!$E$2,Text!B156,IF(Config!$B$2='Data Validations'!$E$3,Text!C156,"Select a lanaguage in config"))</f>
        <v>Web Application Firewall (WAF) provides centralized protection of your web applications from common exploits and vulnerabilities. Web applications are increasingly targeted by malicious attacks that exploit commonly known vulnerabilities. SQL injection and cross-site scripting are among the most common attacks. Preventing such attacks in application code is challenging. It can require rigorous maintenance, patching, and monitoring at multiple layers of the application topology. A centralised web application firewall helps make security management much simpler. A WAF also gives application administrators better assurance of protection against threats and intrusions. A WAF solution can react to a security threat faster by centrally patching a known vulnerability, instead of securing each individual web application.</v>
      </c>
      <c r="U156" s="2" t="s">
        <v>492</v>
      </c>
      <c r="V156" s="120" t="s">
        <v>417</v>
      </c>
      <c r="W156" s="38" t="s">
        <v>473</v>
      </c>
      <c r="X156" s="26" t="s">
        <v>466</v>
      </c>
      <c r="Y156" s="26" t="s">
        <v>494</v>
      </c>
      <c r="Z156" s="26" t="s">
        <v>447</v>
      </c>
      <c r="AA156" s="2"/>
      <c r="AB156" s="264"/>
      <c r="AC156" s="2"/>
      <c r="AD156" s="2"/>
    </row>
    <row r="157" spans="1:30" ht="15" customHeight="1" x14ac:dyDescent="0.45">
      <c r="A157" s="289" t="s">
        <v>495</v>
      </c>
      <c r="B157" s="1" t="s">
        <v>376</v>
      </c>
      <c r="C157" s="1" t="s">
        <v>239</v>
      </c>
      <c r="D157" s="6" t="s">
        <v>323</v>
      </c>
      <c r="E157" s="6"/>
      <c r="F157" s="13" t="s">
        <v>54</v>
      </c>
      <c r="G157" s="153"/>
      <c r="H157" s="154"/>
      <c r="I157" s="245"/>
      <c r="J157" s="177"/>
      <c r="K157" s="41"/>
      <c r="L157" s="14" t="s">
        <v>54</v>
      </c>
      <c r="M157" s="14" t="s">
        <v>54</v>
      </c>
      <c r="N157" s="14" t="s">
        <v>54</v>
      </c>
      <c r="O157" s="14"/>
      <c r="P157" s="14"/>
      <c r="Q157" s="2"/>
      <c r="R157" s="2"/>
      <c r="S157" s="2" t="s">
        <v>305</v>
      </c>
      <c r="T157" s="2" t="str">
        <f>IF(Config!$B$2='Data Validations'!$E$2,Text!B157,IF(Config!$B$2='Data Validations'!$E$3,Text!C157,"Select a lanaguage in config"))</f>
        <v>Application Gateway v2 is the latest version of Application Gateway. It provides advantages over Application Gateway v1 such as performance enhancements, autoscaling, zone redundancy, and static VIPs.</v>
      </c>
      <c r="U157" s="2" t="s">
        <v>492</v>
      </c>
      <c r="V157" s="120" t="s">
        <v>417</v>
      </c>
      <c r="W157" s="38" t="s">
        <v>473</v>
      </c>
      <c r="X157" s="26" t="s">
        <v>466</v>
      </c>
      <c r="Y157" s="26" t="s">
        <v>494</v>
      </c>
      <c r="Z157" s="26" t="s">
        <v>447</v>
      </c>
      <c r="AA157" s="2"/>
      <c r="AB157" s="264"/>
      <c r="AC157" s="2"/>
      <c r="AD157" s="2"/>
    </row>
    <row r="158" spans="1:30" ht="15" customHeight="1" x14ac:dyDescent="0.45">
      <c r="A158" s="289" t="s">
        <v>115</v>
      </c>
      <c r="B158" s="1" t="s">
        <v>376</v>
      </c>
      <c r="C158" s="1" t="s">
        <v>239</v>
      </c>
      <c r="D158" s="6" t="s">
        <v>323</v>
      </c>
      <c r="E158" s="6"/>
      <c r="F158" s="13" t="s">
        <v>54</v>
      </c>
      <c r="G158" s="153"/>
      <c r="H158" s="155"/>
      <c r="I158" s="245"/>
      <c r="J158" s="177"/>
      <c r="K158" s="41"/>
      <c r="L158" s="14" t="s">
        <v>54</v>
      </c>
      <c r="M158" s="14" t="s">
        <v>54</v>
      </c>
      <c r="N158" s="14" t="s">
        <v>54</v>
      </c>
      <c r="O158" s="14"/>
      <c r="P158" s="14"/>
      <c r="Q158" s="2"/>
      <c r="R158" s="2"/>
      <c r="S158" s="2" t="s">
        <v>305</v>
      </c>
      <c r="T158" s="2" t="str">
        <f>IF(Config!$B$2='Data Validations'!$E$2,Text!B158,IF(Config!$B$2='Data Validations'!$E$3,Text!C158,"Select a lanaguage in config"))</f>
        <v>Azure Front Door is Microsoft’s modern cloud Content Delivery Network (CDN) that provides fast, reliable, and secure access between an organizations users and their applications’ static and dynamic web content across the globe. Azure Front Door delivers your content using the Microsoft’s global edge network with hundreds of global and local POPs distributed around the world close to both enterprise and consumer end users.</v>
      </c>
      <c r="U158" s="2" t="s">
        <v>492</v>
      </c>
      <c r="V158" s="120" t="s">
        <v>417</v>
      </c>
      <c r="W158" s="38" t="s">
        <v>473</v>
      </c>
      <c r="X158" s="26" t="s">
        <v>466</v>
      </c>
      <c r="Y158" s="26" t="s">
        <v>494</v>
      </c>
      <c r="Z158" s="26" t="s">
        <v>447</v>
      </c>
      <c r="AA158" s="2"/>
      <c r="AB158" s="264"/>
      <c r="AC158" s="2"/>
      <c r="AD158" s="2"/>
    </row>
    <row r="159" spans="1:30" ht="15" customHeight="1" x14ac:dyDescent="0.45">
      <c r="A159" s="289" t="s">
        <v>166</v>
      </c>
      <c r="B159" s="1" t="s">
        <v>376</v>
      </c>
      <c r="C159" s="1" t="s">
        <v>239</v>
      </c>
      <c r="D159" s="6" t="s">
        <v>323</v>
      </c>
      <c r="E159" s="6"/>
      <c r="F159" s="13" t="s">
        <v>54</v>
      </c>
      <c r="G159" s="153"/>
      <c r="H159" s="155"/>
      <c r="I159" s="245"/>
      <c r="J159" s="176"/>
      <c r="K159" s="41"/>
      <c r="L159" s="14" t="s">
        <v>54</v>
      </c>
      <c r="M159" s="14" t="s">
        <v>54</v>
      </c>
      <c r="N159" s="14" t="s">
        <v>54</v>
      </c>
      <c r="O159" s="14"/>
      <c r="P159" s="14"/>
      <c r="Q159" s="2"/>
      <c r="R159" s="2"/>
      <c r="S159" s="2" t="s">
        <v>305</v>
      </c>
      <c r="T159" s="2" t="str">
        <f>IF(Config!$B$2='Data Validations'!$E$2,Text!B159,IF(Config!$B$2='Data Validations'!$E$3,Text!C159,"Select a lanaguage in config"))</f>
        <v>Bastion provides secure RDP and SSH connectivity to all of the VMs in the virtual network in which it is provisioned. Using Azure Bastion protects your virtual machines from exposing RDP/SSH ports to the outside world, while still providing secure access using RDP/SSH. Access to Bastion can be controlled via Microsoft Entra ID Roles and in turn Privileged Identity Management. This allows for both internal and external access with increased auditing, accountability and verification - especially helpful for agreed out of hours access by 3rd party support or partners.</v>
      </c>
      <c r="U159" s="2" t="s">
        <v>382</v>
      </c>
      <c r="V159" s="120" t="s">
        <v>417</v>
      </c>
      <c r="W159" s="38" t="s">
        <v>473</v>
      </c>
      <c r="X159" s="26" t="s">
        <v>466</v>
      </c>
      <c r="Y159" s="26" t="s">
        <v>496</v>
      </c>
      <c r="Z159" s="26" t="s">
        <v>447</v>
      </c>
      <c r="AA159" s="2"/>
      <c r="AB159" s="264"/>
      <c r="AC159" s="2"/>
      <c r="AD159" s="2"/>
    </row>
    <row r="160" spans="1:30" ht="15" customHeight="1" x14ac:dyDescent="0.45">
      <c r="A160" s="305" t="s">
        <v>497</v>
      </c>
      <c r="B160" s="13" t="s">
        <v>259</v>
      </c>
      <c r="C160" s="13" t="s">
        <v>259</v>
      </c>
      <c r="D160" s="13" t="s">
        <v>259</v>
      </c>
      <c r="E160" s="13" t="s">
        <v>259</v>
      </c>
      <c r="F160" s="13" t="s">
        <v>259</v>
      </c>
      <c r="G160" s="151" t="s">
        <v>259</v>
      </c>
      <c r="H160" s="152" t="s">
        <v>259</v>
      </c>
      <c r="I160" s="244" t="s">
        <v>259</v>
      </c>
      <c r="J160" s="175" t="s">
        <v>259</v>
      </c>
      <c r="K160" s="259" t="s">
        <v>259</v>
      </c>
      <c r="L160" s="152" t="s">
        <v>259</v>
      </c>
      <c r="M160" s="152" t="s">
        <v>259</v>
      </c>
      <c r="N160" s="152" t="s">
        <v>259</v>
      </c>
      <c r="O160" s="13" t="s">
        <v>259</v>
      </c>
      <c r="P160" s="13" t="s">
        <v>259</v>
      </c>
      <c r="Q160" s="13" t="s">
        <v>259</v>
      </c>
      <c r="R160" s="13" t="s">
        <v>259</v>
      </c>
      <c r="S160" s="13" t="s">
        <v>259</v>
      </c>
      <c r="T160" s="2" t="str">
        <f>IF(Config!$B$2='Data Validations'!$E$2,Text!B160,IF(Config!$B$2='Data Validations'!$E$3,Text!C160,"Select a lanaguage in config"))</f>
        <v>_</v>
      </c>
      <c r="U160" s="13" t="s">
        <v>259</v>
      </c>
      <c r="V160" s="13" t="s">
        <v>259</v>
      </c>
      <c r="W160" s="13" t="s">
        <v>259</v>
      </c>
      <c r="X160" s="13" t="s">
        <v>259</v>
      </c>
      <c r="Y160" s="13" t="s">
        <v>259</v>
      </c>
      <c r="Z160" s="13" t="s">
        <v>259</v>
      </c>
      <c r="AA160" s="13" t="s">
        <v>259</v>
      </c>
      <c r="AB160" s="264"/>
      <c r="AC160" s="2"/>
      <c r="AD160" s="2"/>
    </row>
    <row r="161" spans="1:30" ht="15" customHeight="1" x14ac:dyDescent="0.45">
      <c r="A161" s="307" t="s">
        <v>498</v>
      </c>
      <c r="B161" s="13" t="s">
        <v>259</v>
      </c>
      <c r="C161" s="13" t="s">
        <v>259</v>
      </c>
      <c r="D161" s="13" t="s">
        <v>259</v>
      </c>
      <c r="E161" s="13" t="s">
        <v>259</v>
      </c>
      <c r="F161" s="13" t="s">
        <v>259</v>
      </c>
      <c r="G161" s="151" t="s">
        <v>259</v>
      </c>
      <c r="H161" s="152" t="s">
        <v>259</v>
      </c>
      <c r="I161" s="244" t="s">
        <v>259</v>
      </c>
      <c r="J161" s="175" t="s">
        <v>259</v>
      </c>
      <c r="K161" s="259" t="s">
        <v>259</v>
      </c>
      <c r="L161" s="152" t="s">
        <v>259</v>
      </c>
      <c r="M161" s="152" t="s">
        <v>259</v>
      </c>
      <c r="N161" s="152" t="s">
        <v>259</v>
      </c>
      <c r="O161" s="13" t="s">
        <v>259</v>
      </c>
      <c r="P161" s="13" t="s">
        <v>259</v>
      </c>
      <c r="Q161" s="13" t="s">
        <v>259</v>
      </c>
      <c r="R161" s="13" t="s">
        <v>259</v>
      </c>
      <c r="S161" s="13" t="s">
        <v>259</v>
      </c>
      <c r="T161" s="2" t="str">
        <f>IF(Config!$B$2='Data Validations'!$E$2,Text!B161,IF(Config!$B$2='Data Validations'!$E$3,Text!C161,"Select a lanaguage in config"))</f>
        <v>_</v>
      </c>
      <c r="U161" s="13" t="s">
        <v>259</v>
      </c>
      <c r="V161" s="13" t="s">
        <v>259</v>
      </c>
      <c r="W161" s="13" t="s">
        <v>259</v>
      </c>
      <c r="X161" s="13" t="s">
        <v>259</v>
      </c>
      <c r="Y161" s="13" t="s">
        <v>259</v>
      </c>
      <c r="Z161" s="13" t="s">
        <v>259</v>
      </c>
      <c r="AA161" s="13" t="s">
        <v>259</v>
      </c>
      <c r="AB161" s="264" t="s">
        <v>499</v>
      </c>
      <c r="AC161" s="2" t="s">
        <v>500</v>
      </c>
      <c r="AD161" s="2"/>
    </row>
    <row r="162" spans="1:30" ht="15" customHeight="1" x14ac:dyDescent="0.45">
      <c r="A162" s="297" t="s">
        <v>501</v>
      </c>
      <c r="B162" s="1" t="s">
        <v>231</v>
      </c>
      <c r="C162" s="2" t="s">
        <v>232</v>
      </c>
      <c r="D162" s="5"/>
      <c r="E162" s="5" t="s">
        <v>247</v>
      </c>
      <c r="F162" s="13" t="s">
        <v>54</v>
      </c>
      <c r="G162" s="158"/>
      <c r="H162" s="155"/>
      <c r="I162" s="245"/>
      <c r="J162" s="177"/>
      <c r="K162" s="41"/>
      <c r="L162" s="14" t="s">
        <v>54</v>
      </c>
      <c r="M162" s="14" t="s">
        <v>54</v>
      </c>
      <c r="N162" s="14" t="s">
        <v>54</v>
      </c>
      <c r="O162" s="14"/>
      <c r="P162" s="14"/>
      <c r="Q162" s="2"/>
      <c r="R162" s="2"/>
      <c r="S162" s="2" t="s">
        <v>305</v>
      </c>
      <c r="T162" s="2" t="str">
        <f>IF(Config!$B$2='Data Validations'!$E$2,Text!B162,IF(Config!$B$2='Data Validations'!$E$3,Text!C162,"Select a lanaguage in config"))</f>
        <v>The built in Antimalware protection provides a limited level of protection to data uploaded to SharePoint via OneDrive, Teams or SharePoint directly. It must be stressed that this service only provides periodic scanning that is signature based. It is recommended to look to more advanced protection via Defender for Office 365</v>
      </c>
      <c r="U162" s="2" t="s">
        <v>502</v>
      </c>
      <c r="V162" s="120" t="s">
        <v>312</v>
      </c>
      <c r="W162" s="10" t="s">
        <v>503</v>
      </c>
      <c r="X162" s="26" t="s">
        <v>281</v>
      </c>
      <c r="Y162" s="26" t="s">
        <v>504</v>
      </c>
      <c r="Z162" s="26" t="s">
        <v>1271</v>
      </c>
      <c r="AA162" s="2" t="s">
        <v>238</v>
      </c>
      <c r="AB162" s="264" t="s">
        <v>499</v>
      </c>
      <c r="AC162" s="2" t="s">
        <v>500</v>
      </c>
      <c r="AD162" s="1"/>
    </row>
    <row r="163" spans="1:30" ht="15" customHeight="1" x14ac:dyDescent="0.45">
      <c r="A163" s="297" t="s">
        <v>505</v>
      </c>
      <c r="B163" s="1" t="s">
        <v>1450</v>
      </c>
      <c r="C163" s="1" t="s">
        <v>239</v>
      </c>
      <c r="D163" s="6" t="str">
        <f>CONCATENATE(ROW(A8),",",ROW(A9),",",ROW(A10))</f>
        <v>8,9,10</v>
      </c>
      <c r="E163" s="6" t="s">
        <v>307</v>
      </c>
      <c r="F163" s="13" t="s">
        <v>54</v>
      </c>
      <c r="G163" s="158"/>
      <c r="H163" s="154"/>
      <c r="I163" s="245"/>
      <c r="J163" s="177"/>
      <c r="K163" s="41"/>
      <c r="L163" s="14" t="s">
        <v>54</v>
      </c>
      <c r="M163" s="14" t="s">
        <v>54</v>
      </c>
      <c r="N163" s="14" t="s">
        <v>54</v>
      </c>
      <c r="O163" s="14"/>
      <c r="P163" s="14"/>
      <c r="Q163" s="2"/>
      <c r="R163" s="2"/>
      <c r="S163" s="2" t="s">
        <v>289</v>
      </c>
      <c r="T163" s="2" t="str">
        <f>IF(Config!$B$2='Data Validations'!$E$2,Text!B163,IF(Config!$B$2='Data Validations'!$E$3,Text!C163,"Select a lanaguage in config"))</f>
        <v xml:space="preserve">Defender for Office 365 provides signatureless based antimalware defence right from the edge of the Azure network down to the individual storage location for SharePoint, OneDrive, Teams and Exchange Online. This protects both internal and external traffic. As the service is built as part of Office 365, it can retrospectively remove items that are later proven to be malicious. Defender for Office 365 uses sandboxing, A.I. and machine learning for files and URLs to detect and remediate known and zero day threats. Defender for Office 365 is fully integrated into Microsoft 365 Defender </v>
      </c>
      <c r="U163" s="2" t="s">
        <v>502</v>
      </c>
      <c r="V163" s="120" t="s">
        <v>312</v>
      </c>
      <c r="W163" s="10" t="s">
        <v>503</v>
      </c>
      <c r="X163" s="26" t="s">
        <v>1246</v>
      </c>
      <c r="Y163" s="26" t="s">
        <v>504</v>
      </c>
      <c r="Z163" s="26" t="s">
        <v>1271</v>
      </c>
      <c r="AA163" s="2" t="s">
        <v>238</v>
      </c>
      <c r="AB163" s="61" t="s">
        <v>506</v>
      </c>
      <c r="AC163" s="2" t="s">
        <v>500</v>
      </c>
      <c r="AD163" s="2"/>
    </row>
    <row r="164" spans="1:30" ht="15" customHeight="1" x14ac:dyDescent="0.45">
      <c r="A164" s="297" t="s">
        <v>507</v>
      </c>
      <c r="B164" s="1" t="s">
        <v>1450</v>
      </c>
      <c r="C164" s="1" t="s">
        <v>246</v>
      </c>
      <c r="D164" s="6" t="str">
        <f>CONCATENATE(ROW(A6),",",ROW(A128),",",ROW(A163))</f>
        <v>6,128,163</v>
      </c>
      <c r="E164" s="6"/>
      <c r="F164" s="13" t="s">
        <v>54</v>
      </c>
      <c r="G164" s="153"/>
      <c r="H164" s="155"/>
      <c r="I164" s="245"/>
      <c r="J164" s="176"/>
      <c r="K164" s="41"/>
      <c r="L164" s="14" t="s">
        <v>54</v>
      </c>
      <c r="M164" s="14" t="s">
        <v>54</v>
      </c>
      <c r="N164" s="14" t="s">
        <v>54</v>
      </c>
      <c r="O164" s="14"/>
      <c r="P164" s="14"/>
      <c r="Q164" s="2"/>
      <c r="R164" s="2"/>
      <c r="S164" s="2" t="s">
        <v>289</v>
      </c>
      <c r="T164" s="2" t="str">
        <f>IF(Config!$B$2='Data Validations'!$E$2,Text!B164,IF(Config!$B$2='Data Validations'!$E$3,Text!C164,"Select a lanaguage in config"))</f>
        <v>Safe Documents builds upon Application Guard and can isolate Microsoft Apps for Enterprise Applications. This is used to provide a protect view for documents opened from untrusted locations, such as those from email or downloaded from the internet. Should a document contain malware, such as ransomware, the malicious code would be detonated in the protected view which is isolated from the rest of the machine. Simply closing the protected view will remove files and settings associated with the session leaving the machine intact and unharmed.</v>
      </c>
      <c r="U164" s="2" t="s">
        <v>508</v>
      </c>
      <c r="V164" s="120" t="s">
        <v>312</v>
      </c>
      <c r="W164" s="10"/>
      <c r="X164" s="26" t="s">
        <v>509</v>
      </c>
      <c r="Y164" s="26" t="s">
        <v>504</v>
      </c>
      <c r="Z164" s="26" t="s">
        <v>1271</v>
      </c>
      <c r="AA164" s="2" t="s">
        <v>238</v>
      </c>
      <c r="AB164" s="61"/>
      <c r="AC164" s="2"/>
      <c r="AD164" s="2"/>
    </row>
    <row r="165" spans="1:30" ht="15" customHeight="1" x14ac:dyDescent="0.45">
      <c r="A165" s="307" t="s">
        <v>510</v>
      </c>
      <c r="B165" s="13" t="s">
        <v>259</v>
      </c>
      <c r="C165" s="13" t="s">
        <v>259</v>
      </c>
      <c r="D165" s="2" t="s">
        <v>259</v>
      </c>
      <c r="E165" s="2" t="s">
        <v>259</v>
      </c>
      <c r="F165" s="2" t="s">
        <v>259</v>
      </c>
      <c r="G165" s="151" t="s">
        <v>259</v>
      </c>
      <c r="H165" s="152" t="s">
        <v>259</v>
      </c>
      <c r="I165" s="244" t="s">
        <v>259</v>
      </c>
      <c r="J165" s="175" t="s">
        <v>259</v>
      </c>
      <c r="K165" s="259" t="s">
        <v>259</v>
      </c>
      <c r="L165" s="152" t="s">
        <v>259</v>
      </c>
      <c r="M165" s="152" t="s">
        <v>259</v>
      </c>
      <c r="N165" s="152" t="s">
        <v>259</v>
      </c>
      <c r="O165" s="2" t="s">
        <v>259</v>
      </c>
      <c r="P165" s="2" t="s">
        <v>259</v>
      </c>
      <c r="Q165" s="2" t="s">
        <v>259</v>
      </c>
      <c r="R165" s="2" t="s">
        <v>259</v>
      </c>
      <c r="S165" s="2" t="s">
        <v>259</v>
      </c>
      <c r="T165" s="2" t="str">
        <f>IF(Config!$B$2='Data Validations'!$E$2,Text!B165,IF(Config!$B$2='Data Validations'!$E$3,Text!C165,"Select a lanaguage in config"))</f>
        <v>_</v>
      </c>
      <c r="U165" s="2" t="s">
        <v>259</v>
      </c>
      <c r="V165" s="2" t="s">
        <v>259</v>
      </c>
      <c r="W165" s="2" t="s">
        <v>259</v>
      </c>
      <c r="X165" s="2" t="s">
        <v>259</v>
      </c>
      <c r="Y165" s="2" t="s">
        <v>259</v>
      </c>
      <c r="Z165" s="2" t="s">
        <v>259</v>
      </c>
      <c r="AA165" s="2" t="s">
        <v>259</v>
      </c>
      <c r="AB165" s="264"/>
      <c r="AC165" s="2" t="s">
        <v>500</v>
      </c>
      <c r="AD165" s="1"/>
    </row>
    <row r="166" spans="1:30" ht="15" customHeight="1" x14ac:dyDescent="0.45">
      <c r="A166" s="297" t="s">
        <v>170</v>
      </c>
      <c r="B166" s="1" t="s">
        <v>231</v>
      </c>
      <c r="C166" s="1" t="s">
        <v>239</v>
      </c>
      <c r="D166" s="6" t="str">
        <f>CONCATENATE(ROW(A7))</f>
        <v>7</v>
      </c>
      <c r="E166" s="6" t="s">
        <v>247</v>
      </c>
      <c r="F166" s="13" t="s">
        <v>54</v>
      </c>
      <c r="G166" s="153"/>
      <c r="H166" s="154"/>
      <c r="I166" s="245"/>
      <c r="J166" s="177"/>
      <c r="K166" s="41"/>
      <c r="L166" s="14" t="s">
        <v>54</v>
      </c>
      <c r="M166" s="14" t="s">
        <v>54</v>
      </c>
      <c r="N166" s="14" t="s">
        <v>54</v>
      </c>
      <c r="O166" s="14"/>
      <c r="P166" s="14"/>
      <c r="Q166" s="2"/>
      <c r="R166" s="2"/>
      <c r="S166" s="2" t="s">
        <v>289</v>
      </c>
      <c r="T166" s="2" t="str">
        <f>IF(Config!$B$2='Data Validations'!$E$2,Text!B166,IF(Config!$B$2='Data Validations'!$E$3,Text!C166,"Select a lanaguage in config"))</f>
        <v xml:space="preserve">All traffic in Exchange Online, be that internal or external, all goes through Exchange Online Protection (EOP). It is primarily responsible for SPAM filtering and content filtering. Additionally, EOP is responsible for transport rules which can manipulate and control mail flow, in turn providing granular controls and protection. Although it does provide anti-malware protection, this is signature based only and more advanced protection should be used via Defender for Office 365. </v>
      </c>
      <c r="U166" s="2" t="s">
        <v>502</v>
      </c>
      <c r="V166" s="120" t="s">
        <v>312</v>
      </c>
      <c r="W166" s="10" t="s">
        <v>503</v>
      </c>
      <c r="X166" s="26" t="s">
        <v>1246</v>
      </c>
      <c r="Y166" s="26" t="s">
        <v>504</v>
      </c>
      <c r="Z166" s="26" t="s">
        <v>1271</v>
      </c>
      <c r="AA166" s="2" t="s">
        <v>238</v>
      </c>
      <c r="AB166" s="61" t="s">
        <v>511</v>
      </c>
      <c r="AC166" s="2" t="s">
        <v>500</v>
      </c>
      <c r="AD166" s="1"/>
    </row>
    <row r="167" spans="1:30" ht="15" customHeight="1" x14ac:dyDescent="0.45">
      <c r="A167" s="297" t="s">
        <v>512</v>
      </c>
      <c r="B167" s="1" t="s">
        <v>1450</v>
      </c>
      <c r="C167" s="1" t="s">
        <v>246</v>
      </c>
      <c r="D167" s="6" t="str">
        <f>CONCATENATE(ROW(A163))</f>
        <v>163</v>
      </c>
      <c r="E167" s="6" t="s">
        <v>307</v>
      </c>
      <c r="F167" s="13" t="s">
        <v>54</v>
      </c>
      <c r="G167" s="153"/>
      <c r="H167" s="154"/>
      <c r="I167" s="245"/>
      <c r="J167" s="177"/>
      <c r="K167" s="41"/>
      <c r="L167" s="14" t="s">
        <v>54</v>
      </c>
      <c r="M167" s="14" t="s">
        <v>54</v>
      </c>
      <c r="N167" s="14" t="s">
        <v>54</v>
      </c>
      <c r="O167" s="14"/>
      <c r="P167" s="14"/>
      <c r="Q167" s="2"/>
      <c r="R167" s="2"/>
      <c r="S167" s="2" t="s">
        <v>513</v>
      </c>
      <c r="T167" s="2" t="str">
        <f>IF(Config!$B$2='Data Validations'!$E$2,Text!B167,IF(Config!$B$2='Data Validations'!$E$3,Text!C167,"Select a lanaguage in config"))</f>
        <v xml:space="preserve">Version 2 of the Attack Simulator is a complete solution for internal training around Email Based Compromise (EBC), such as Phishing. The Attack Simulator provides granular controls to target users for training as well as providing a number of templates that can be used and modified to launch attacks or prolonged training campaigns. Malicious Phishing emails can also be harvested and modified into simulated phishing for more realistic training. Training content is built into the service and is typically 1 minute to 7 minute videos. Since the Attack Simulator is built into Exchange Online, simulation emails do not have to bypass filtering </v>
      </c>
      <c r="U167" s="2" t="s">
        <v>514</v>
      </c>
      <c r="V167" s="120" t="s">
        <v>312</v>
      </c>
      <c r="W167" s="10" t="s">
        <v>515</v>
      </c>
      <c r="X167" s="26" t="s">
        <v>1246</v>
      </c>
      <c r="Y167" s="26" t="s">
        <v>516</v>
      </c>
      <c r="Z167" s="26" t="s">
        <v>1271</v>
      </c>
      <c r="AA167" s="2" t="s">
        <v>238</v>
      </c>
      <c r="AB167" s="61" t="s">
        <v>511</v>
      </c>
      <c r="AC167" s="2" t="s">
        <v>500</v>
      </c>
      <c r="AD167" s="1"/>
    </row>
    <row r="168" spans="1:30" ht="15" customHeight="1" x14ac:dyDescent="0.45">
      <c r="A168" s="297" t="s">
        <v>517</v>
      </c>
      <c r="B168" s="1" t="s">
        <v>231</v>
      </c>
      <c r="C168" s="1" t="s">
        <v>232</v>
      </c>
      <c r="D168" s="6" t="str">
        <f>CONCATENATE(ROW(A166))</f>
        <v>166</v>
      </c>
      <c r="E168" s="6" t="s">
        <v>247</v>
      </c>
      <c r="F168" s="13" t="s">
        <v>54</v>
      </c>
      <c r="G168" s="167"/>
      <c r="H168" s="154"/>
      <c r="I168" s="245"/>
      <c r="J168" s="177"/>
      <c r="K168" s="41"/>
      <c r="L168" s="14" t="s">
        <v>54</v>
      </c>
      <c r="M168" s="14" t="s">
        <v>54</v>
      </c>
      <c r="N168" s="14" t="s">
        <v>54</v>
      </c>
      <c r="O168" s="14"/>
      <c r="P168" s="14"/>
      <c r="Q168" s="2"/>
      <c r="R168" s="2"/>
      <c r="S168" s="2" t="s">
        <v>278</v>
      </c>
      <c r="T168" s="2" t="str">
        <f>IF(Config!$B$2='Data Validations'!$E$2,Text!B168,IF(Config!$B$2='Data Validations'!$E$3,Text!C168,"Select a lanaguage in config"))</f>
        <v>Sender reputation and mail server validation checks are vital to stop illegitimate emails reaching an organizations users mailbox. Transport Layer Security (TLS) encrypts traffic between mail servers helping to stop man-in-the-middle attacks. Configuration of these services, although not specific to Exchange Online, should be configured as a good practice</v>
      </c>
      <c r="U168" s="2" t="s">
        <v>502</v>
      </c>
      <c r="V168" s="120" t="s">
        <v>263</v>
      </c>
      <c r="W168" s="10" t="s">
        <v>503</v>
      </c>
      <c r="X168" s="26" t="s">
        <v>1249</v>
      </c>
      <c r="Y168" s="26" t="s">
        <v>518</v>
      </c>
      <c r="Z168" s="26" t="s">
        <v>1271</v>
      </c>
      <c r="AA168" s="2" t="s">
        <v>238</v>
      </c>
      <c r="AB168" s="61" t="s">
        <v>511</v>
      </c>
      <c r="AC168" s="2" t="s">
        <v>500</v>
      </c>
      <c r="AD168" s="1"/>
    </row>
    <row r="169" spans="1:30" ht="15" customHeight="1" x14ac:dyDescent="0.45">
      <c r="A169" s="297" t="s">
        <v>181</v>
      </c>
      <c r="B169" s="1" t="s">
        <v>231</v>
      </c>
      <c r="C169" s="1" t="s">
        <v>232</v>
      </c>
      <c r="D169" s="6" t="str">
        <f>CONCATENATE(ROW(A166))</f>
        <v>166</v>
      </c>
      <c r="E169" s="6" t="s">
        <v>247</v>
      </c>
      <c r="F169" s="13" t="s">
        <v>54</v>
      </c>
      <c r="G169" s="153"/>
      <c r="H169" s="155"/>
      <c r="I169" s="245"/>
      <c r="J169" s="177"/>
      <c r="K169" s="41"/>
      <c r="L169" s="14" t="s">
        <v>54</v>
      </c>
      <c r="M169" s="14" t="s">
        <v>54</v>
      </c>
      <c r="N169" s="14" t="s">
        <v>54</v>
      </c>
      <c r="O169" s="14"/>
      <c r="P169" s="14"/>
      <c r="Q169" s="2"/>
      <c r="R169" s="2"/>
      <c r="S169" s="2" t="s">
        <v>278</v>
      </c>
      <c r="T169" s="2" t="str">
        <f>IF(Config!$B$2='Data Validations'!$E$2,Text!B169,IF(Config!$B$2='Data Validations'!$E$3,Text!C169,"Select a lanaguage in config"))</f>
        <v>Block anonymous calendar sharing can make reconnaissance harder for attacker as well as making targeted phishing emails more difficult. An attacker could potentially use information gathered from a users calendar to add legitimacy to their phishing emails. This should be considered a good practice</v>
      </c>
      <c r="U169" s="2" t="s">
        <v>256</v>
      </c>
      <c r="V169" s="120" t="s">
        <v>1259</v>
      </c>
      <c r="W169" s="10" t="s">
        <v>264</v>
      </c>
      <c r="X169" s="26" t="s">
        <v>1249</v>
      </c>
      <c r="Y169" s="26" t="s">
        <v>518</v>
      </c>
      <c r="Z169" s="26" t="s">
        <v>1271</v>
      </c>
      <c r="AA169" s="2" t="s">
        <v>238</v>
      </c>
      <c r="AB169" s="61" t="s">
        <v>511</v>
      </c>
      <c r="AC169" s="2" t="s">
        <v>500</v>
      </c>
      <c r="AD169" s="1"/>
    </row>
    <row r="170" spans="1:30" ht="15" customHeight="1" x14ac:dyDescent="0.45">
      <c r="A170" s="297" t="s">
        <v>519</v>
      </c>
      <c r="B170" s="1" t="s">
        <v>231</v>
      </c>
      <c r="C170" s="1" t="s">
        <v>232</v>
      </c>
      <c r="D170" s="6" t="str">
        <f t="shared" ref="D170" si="0">CONCATENATE(ROW(A166))</f>
        <v>166</v>
      </c>
      <c r="E170" s="6" t="s">
        <v>247</v>
      </c>
      <c r="F170" s="13" t="s">
        <v>54</v>
      </c>
      <c r="G170" s="158"/>
      <c r="H170" s="155"/>
      <c r="I170" s="245"/>
      <c r="J170" s="177"/>
      <c r="K170" s="41"/>
      <c r="L170" s="14" t="s">
        <v>54</v>
      </c>
      <c r="M170" s="14" t="s">
        <v>54</v>
      </c>
      <c r="N170" s="14" t="s">
        <v>54</v>
      </c>
      <c r="O170" s="14"/>
      <c r="P170" s="14"/>
      <c r="Q170" s="2"/>
      <c r="R170" s="2"/>
      <c r="S170" s="2" t="s">
        <v>278</v>
      </c>
      <c r="T170" s="2" t="str">
        <f>IF(Config!$B$2='Data Validations'!$E$2,Text!B170,IF(Config!$B$2='Data Validations'!$E$3,Text!C170,"Select a lanaguage in config"))</f>
        <v>Blocking client forwarding rules can stop users oversharing information or by-passing security controls. Forwarding rules can still be allowed via admin created transport rules. This should be considered a good practice</v>
      </c>
      <c r="U170" s="2" t="s">
        <v>256</v>
      </c>
      <c r="V170" s="120" t="s">
        <v>1259</v>
      </c>
      <c r="W170" s="10" t="s">
        <v>264</v>
      </c>
      <c r="X170" s="26" t="s">
        <v>1246</v>
      </c>
      <c r="Y170" s="26" t="s">
        <v>518</v>
      </c>
      <c r="Z170" s="26" t="s">
        <v>1271</v>
      </c>
      <c r="AA170" s="2" t="s">
        <v>238</v>
      </c>
      <c r="AB170" s="61" t="s">
        <v>511</v>
      </c>
      <c r="AC170" s="2" t="s">
        <v>500</v>
      </c>
      <c r="AD170" s="1"/>
    </row>
    <row r="171" spans="1:30" ht="15" customHeight="1" x14ac:dyDescent="0.45">
      <c r="A171" s="297" t="s">
        <v>520</v>
      </c>
      <c r="B171" s="1" t="s">
        <v>231</v>
      </c>
      <c r="C171" s="1" t="s">
        <v>232</v>
      </c>
      <c r="D171" s="6" t="str">
        <f>CONCATENATE(ROW(A166))</f>
        <v>166</v>
      </c>
      <c r="E171" s="6" t="s">
        <v>247</v>
      </c>
      <c r="F171" s="13" t="s">
        <v>54</v>
      </c>
      <c r="G171" s="158"/>
      <c r="H171" s="155"/>
      <c r="I171" s="245"/>
      <c r="J171" s="177"/>
      <c r="K171" s="41"/>
      <c r="L171" s="14" t="s">
        <v>54</v>
      </c>
      <c r="M171" s="14" t="s">
        <v>54</v>
      </c>
      <c r="N171" s="14" t="s">
        <v>54</v>
      </c>
      <c r="O171" s="14"/>
      <c r="P171" s="14"/>
      <c r="Q171" s="2"/>
      <c r="R171" s="2"/>
      <c r="S171" s="2" t="s">
        <v>278</v>
      </c>
      <c r="T171" s="2" t="str">
        <f>IF(Config!$B$2='Data Validations'!$E$2,Text!B171,IF(Config!$B$2='Data Validations'!$E$3,Text!C171,"Select a lanaguage in config"))</f>
        <v>Blocking known ransomware file types can stop potentially harmful documents arriving in a users mailbox. However, blocking outbound can prevent exfiltration of data by and attacker (who can decrypted the content), as well as users attempting to pay attackers which may violate company policy and potentially local or international laws.</v>
      </c>
      <c r="U171" s="2" t="s">
        <v>502</v>
      </c>
      <c r="V171" s="120" t="s">
        <v>1259</v>
      </c>
      <c r="W171" s="10" t="s">
        <v>264</v>
      </c>
      <c r="X171" s="26" t="s">
        <v>1246</v>
      </c>
      <c r="Y171" s="26" t="s">
        <v>518</v>
      </c>
      <c r="Z171" s="26" t="s">
        <v>1271</v>
      </c>
      <c r="AA171" s="2" t="s">
        <v>238</v>
      </c>
      <c r="AB171" s="264"/>
      <c r="AC171" s="2"/>
      <c r="AD171" s="1"/>
    </row>
    <row r="172" spans="1:30" ht="15" customHeight="1" x14ac:dyDescent="0.45">
      <c r="A172" s="307" t="s">
        <v>521</v>
      </c>
      <c r="B172" s="13" t="s">
        <v>259</v>
      </c>
      <c r="C172" s="13" t="s">
        <v>259</v>
      </c>
      <c r="D172" s="13" t="s">
        <v>259</v>
      </c>
      <c r="E172" s="13" t="s">
        <v>259</v>
      </c>
      <c r="F172" s="13" t="s">
        <v>259</v>
      </c>
      <c r="G172" s="151" t="s">
        <v>259</v>
      </c>
      <c r="H172" s="152" t="s">
        <v>259</v>
      </c>
      <c r="I172" s="244" t="s">
        <v>259</v>
      </c>
      <c r="J172" s="175" t="s">
        <v>259</v>
      </c>
      <c r="K172" s="259" t="s">
        <v>259</v>
      </c>
      <c r="L172" s="152" t="s">
        <v>259</v>
      </c>
      <c r="M172" s="152" t="s">
        <v>259</v>
      </c>
      <c r="N172" s="152" t="s">
        <v>259</v>
      </c>
      <c r="O172" s="13" t="s">
        <v>259</v>
      </c>
      <c r="P172" s="13" t="s">
        <v>259</v>
      </c>
      <c r="Q172" s="13" t="s">
        <v>259</v>
      </c>
      <c r="R172" s="13" t="s">
        <v>259</v>
      </c>
      <c r="S172" s="13" t="s">
        <v>259</v>
      </c>
      <c r="T172" s="2" t="str">
        <f>IF(Config!$B$2='Data Validations'!$E$2,Text!B172,IF(Config!$B$2='Data Validations'!$E$3,Text!C172,"Select a lanaguage in config"))</f>
        <v>_</v>
      </c>
      <c r="U172" s="13" t="s">
        <v>259</v>
      </c>
      <c r="V172" s="13" t="s">
        <v>259</v>
      </c>
      <c r="W172" s="13" t="s">
        <v>259</v>
      </c>
      <c r="X172" s="13" t="s">
        <v>259</v>
      </c>
      <c r="Y172" s="13" t="s">
        <v>259</v>
      </c>
      <c r="Z172" s="13" t="s">
        <v>259</v>
      </c>
      <c r="AA172" s="13" t="s">
        <v>259</v>
      </c>
      <c r="AB172" s="264"/>
      <c r="AC172" s="2" t="s">
        <v>522</v>
      </c>
      <c r="AD172" s="1"/>
    </row>
    <row r="173" spans="1:30" ht="15" customHeight="1" x14ac:dyDescent="0.45">
      <c r="A173" s="297" t="s">
        <v>188</v>
      </c>
      <c r="B173" s="1" t="s">
        <v>231</v>
      </c>
      <c r="C173" s="1" t="s">
        <v>232</v>
      </c>
      <c r="D173" s="6" t="str">
        <f>CONCATENATE(ROW(A4))</f>
        <v>4</v>
      </c>
      <c r="E173" s="6" t="s">
        <v>247</v>
      </c>
      <c r="F173" s="13" t="s">
        <v>54</v>
      </c>
      <c r="G173" s="153"/>
      <c r="H173" s="155"/>
      <c r="I173" s="245"/>
      <c r="J173" s="177"/>
      <c r="K173" s="41"/>
      <c r="L173" s="14" t="s">
        <v>54</v>
      </c>
      <c r="M173" s="14" t="s">
        <v>54</v>
      </c>
      <c r="N173" s="14" t="s">
        <v>54</v>
      </c>
      <c r="O173" s="14"/>
      <c r="P173" s="14"/>
      <c r="Q173" s="2"/>
      <c r="R173" s="2"/>
      <c r="S173" s="2" t="s">
        <v>278</v>
      </c>
      <c r="T173" s="2" t="str">
        <f>IF(Config!$B$2='Data Validations'!$E$2,Text!B173,IF(Config!$B$2='Data Validations'!$E$3,Text!C173,"Select a lanaguage in config"))</f>
        <v>For most organizations operating on a block list model for external communication will be an acceptable state - only if a domain is found to be undesirable it can be added to the Block list to prevent communication from that domain. However, organizations may wish to limit communication either to only specifically allowed external domains, or to block individual domains for communication. In this instance the organization should use the Allowed list model to limit communication only to domains listed. It is good practice to configure external access in Microsoft Teams Admin Center with an Allowed list model.</v>
      </c>
      <c r="U173" s="2" t="s">
        <v>256</v>
      </c>
      <c r="V173" s="120" t="s">
        <v>263</v>
      </c>
      <c r="W173" s="10" t="s">
        <v>523</v>
      </c>
      <c r="X173" s="26" t="s">
        <v>1249</v>
      </c>
      <c r="Y173" s="26" t="s">
        <v>237</v>
      </c>
      <c r="Z173" s="26" t="s">
        <v>1271</v>
      </c>
      <c r="AA173" s="2" t="s">
        <v>238</v>
      </c>
      <c r="AB173" s="61" t="s">
        <v>524</v>
      </c>
      <c r="AC173" s="2" t="s">
        <v>522</v>
      </c>
      <c r="AD173" s="1"/>
    </row>
    <row r="174" spans="1:30" ht="15" customHeight="1" x14ac:dyDescent="0.45">
      <c r="A174" s="297" t="s">
        <v>192</v>
      </c>
      <c r="B174" s="1" t="s">
        <v>231</v>
      </c>
      <c r="C174" s="1" t="s">
        <v>232</v>
      </c>
      <c r="D174" s="6" t="str">
        <f>CONCATENATE(ROW(A4))</f>
        <v>4</v>
      </c>
      <c r="E174" s="6" t="s">
        <v>247</v>
      </c>
      <c r="F174" s="13" t="s">
        <v>54</v>
      </c>
      <c r="G174" s="153"/>
      <c r="H174" s="155"/>
      <c r="I174" s="245"/>
      <c r="J174" s="177"/>
      <c r="K174" s="41"/>
      <c r="L174" s="14" t="s">
        <v>54</v>
      </c>
      <c r="M174" s="14" t="s">
        <v>54</v>
      </c>
      <c r="N174" s="14" t="s">
        <v>54</v>
      </c>
      <c r="O174" s="14"/>
      <c r="P174" s="14"/>
      <c r="Q174" s="2"/>
      <c r="R174" s="2"/>
      <c r="S174" s="2" t="s">
        <v>278</v>
      </c>
      <c r="T174" s="2" t="str">
        <f>IF(Config!$B$2='Data Validations'!$E$2,Text!B174,IF(Config!$B$2='Data Validations'!$E$3,Text!C174,"Select a lanaguage in config"))</f>
        <v>Guest access in Teams allows someone who isn’t a member of your organization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organizations to allow the use of Guest accounts. Guest accounts should be restricted to permissions and membership of their own directory objects. Guest invites are only sent from specific admin roles.</v>
      </c>
      <c r="U174" s="2" t="s">
        <v>256</v>
      </c>
      <c r="V174" s="120" t="s">
        <v>263</v>
      </c>
      <c r="W174" s="10" t="s">
        <v>523</v>
      </c>
      <c r="X174" s="26" t="s">
        <v>281</v>
      </c>
      <c r="Y174" s="26" t="s">
        <v>525</v>
      </c>
      <c r="Z174" s="26" t="s">
        <v>1271</v>
      </c>
      <c r="AA174" s="2" t="s">
        <v>238</v>
      </c>
      <c r="AB174" s="61" t="s">
        <v>524</v>
      </c>
      <c r="AC174" s="2" t="s">
        <v>522</v>
      </c>
      <c r="AD174" s="2"/>
    </row>
    <row r="175" spans="1:30" ht="15" customHeight="1" x14ac:dyDescent="0.45">
      <c r="A175" s="305" t="s">
        <v>42</v>
      </c>
      <c r="B175" s="13" t="s">
        <v>259</v>
      </c>
      <c r="C175" s="13" t="s">
        <v>259</v>
      </c>
      <c r="D175" s="13" t="s">
        <v>259</v>
      </c>
      <c r="E175" s="13" t="s">
        <v>259</v>
      </c>
      <c r="F175" s="13" t="s">
        <v>259</v>
      </c>
      <c r="G175" s="151" t="s">
        <v>259</v>
      </c>
      <c r="H175" s="152" t="s">
        <v>259</v>
      </c>
      <c r="I175" s="244" t="s">
        <v>259</v>
      </c>
      <c r="J175" s="175" t="s">
        <v>259</v>
      </c>
      <c r="K175" s="259" t="s">
        <v>259</v>
      </c>
      <c r="L175" s="152" t="s">
        <v>259</v>
      </c>
      <c r="M175" s="152" t="s">
        <v>259</v>
      </c>
      <c r="N175" s="152" t="s">
        <v>259</v>
      </c>
      <c r="O175" s="2" t="s">
        <v>259</v>
      </c>
      <c r="P175" s="2" t="s">
        <v>259</v>
      </c>
      <c r="Q175" s="2" t="s">
        <v>259</v>
      </c>
      <c r="R175" s="2" t="s">
        <v>259</v>
      </c>
      <c r="S175" s="2" t="s">
        <v>259</v>
      </c>
      <c r="T175" s="2" t="str">
        <f>IF(Config!$B$2='Data Validations'!$E$2,Text!B175,IF(Config!$B$2='Data Validations'!$E$3,Text!C175,"Select a lanaguage in config"))</f>
        <v>_</v>
      </c>
      <c r="U175" s="2" t="s">
        <v>259</v>
      </c>
      <c r="V175" s="2" t="s">
        <v>259</v>
      </c>
      <c r="W175" s="2" t="s">
        <v>259</v>
      </c>
      <c r="X175" s="2" t="s">
        <v>259</v>
      </c>
      <c r="Y175" s="2" t="s">
        <v>259</v>
      </c>
      <c r="Z175" s="2" t="s">
        <v>259</v>
      </c>
      <c r="AA175" s="2" t="s">
        <v>259</v>
      </c>
      <c r="AB175" s="264"/>
      <c r="AC175" s="2" t="s">
        <v>244</v>
      </c>
      <c r="AD175" s="1"/>
    </row>
    <row r="176" spans="1:30" ht="15" customHeight="1" x14ac:dyDescent="0.45">
      <c r="A176" s="289" t="s">
        <v>127</v>
      </c>
      <c r="B176" s="1" t="s">
        <v>1451</v>
      </c>
      <c r="C176" s="1" t="s">
        <v>239</v>
      </c>
      <c r="D176" s="6" t="str">
        <f>CONCATENATE(ROW(A4))</f>
        <v>4</v>
      </c>
      <c r="E176" s="6" t="s">
        <v>307</v>
      </c>
      <c r="F176" s="13" t="s">
        <v>54</v>
      </c>
      <c r="G176" s="153"/>
      <c r="H176" s="155"/>
      <c r="I176" s="246"/>
      <c r="J176" s="177"/>
      <c r="K176" s="333"/>
      <c r="L176" s="14" t="s">
        <v>54</v>
      </c>
      <c r="M176" s="14" t="s">
        <v>54</v>
      </c>
      <c r="N176" s="14" t="s">
        <v>54</v>
      </c>
      <c r="O176" s="14"/>
      <c r="P176" s="14"/>
      <c r="Q176" s="2"/>
      <c r="R176" s="2"/>
      <c r="S176" s="2" t="s">
        <v>305</v>
      </c>
      <c r="T176" s="2" t="str">
        <f>IF(Config!$B$2='Data Validations'!$E$2,Text!B176,IF(Config!$B$2='Data Validations'!$E$3,Text!C176,"Select a lanaguage in config"))</f>
        <v>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organization.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organizations Active Directory as well as providing response actions in breach scenarios.</v>
      </c>
      <c r="U176" s="2" t="s">
        <v>526</v>
      </c>
      <c r="V176" s="120" t="s">
        <v>312</v>
      </c>
      <c r="W176" s="10" t="s">
        <v>280</v>
      </c>
      <c r="X176" s="26" t="s">
        <v>1234</v>
      </c>
      <c r="Y176" s="26" t="s">
        <v>527</v>
      </c>
      <c r="Z176" s="26" t="s">
        <v>42</v>
      </c>
      <c r="AA176" s="2" t="s">
        <v>238</v>
      </c>
      <c r="AB176" s="61" t="s">
        <v>250</v>
      </c>
      <c r="AC176" s="2" t="s">
        <v>244</v>
      </c>
      <c r="AD176" s="2"/>
    </row>
    <row r="177" spans="1:31" ht="15" customHeight="1" x14ac:dyDescent="0.45">
      <c r="A177" s="289" t="s">
        <v>528</v>
      </c>
      <c r="B177" s="1" t="s">
        <v>1497</v>
      </c>
      <c r="C177" s="1" t="s">
        <v>246</v>
      </c>
      <c r="D177" s="5" t="str">
        <f>CONCATENATE(ROW(A4),",",ROW(A27),",",ROW(A176))</f>
        <v>4,27,176</v>
      </c>
      <c r="E177" s="5" t="s">
        <v>310</v>
      </c>
      <c r="F177" s="13" t="s">
        <v>54</v>
      </c>
      <c r="G177" s="156"/>
      <c r="H177" s="154"/>
      <c r="I177" s="245"/>
      <c r="J177" s="177"/>
      <c r="K177" s="41"/>
      <c r="L177" s="14" t="s">
        <v>54</v>
      </c>
      <c r="M177" s="14" t="s">
        <v>54</v>
      </c>
      <c r="N177" s="14" t="s">
        <v>54</v>
      </c>
      <c r="O177" s="14"/>
      <c r="P177" s="14"/>
      <c r="Q177" s="2"/>
      <c r="R177" s="2"/>
      <c r="S177" s="2" t="s">
        <v>305</v>
      </c>
      <c r="T177" s="2" t="str">
        <f>IF(Config!$B$2='Data Validations'!$E$2,Text!B177,IF(Config!$B$2='Data Validations'!$E$3,Text!C177,"Select a lanaguage in config"))</f>
        <v>The Threat Protection component of Microsoft Defender for Cloud Apps gives a risk score around users activities and then provides a single view of user; amalgamating their on-premises and cloud based activities into a single actionable timeline. This can significantly reduce the time between the detection of an attack and it's remediation (Mean time to Remediation).</v>
      </c>
      <c r="U177" s="2" t="s">
        <v>526</v>
      </c>
      <c r="V177" s="120" t="s">
        <v>312</v>
      </c>
      <c r="W177" s="10" t="s">
        <v>529</v>
      </c>
      <c r="X177" s="26" t="s">
        <v>281</v>
      </c>
      <c r="Y177" s="26" t="s">
        <v>527</v>
      </c>
      <c r="Z177" s="26" t="s">
        <v>42</v>
      </c>
      <c r="AA177" s="2" t="s">
        <v>238</v>
      </c>
      <c r="AB177" s="61" t="s">
        <v>470</v>
      </c>
      <c r="AC177" s="2"/>
      <c r="AD177" s="2"/>
    </row>
    <row r="178" spans="1:31" ht="15" customHeight="1" x14ac:dyDescent="0.45">
      <c r="A178" s="305" t="s">
        <v>1178</v>
      </c>
      <c r="B178" s="13" t="s">
        <v>259</v>
      </c>
      <c r="C178" s="13" t="s">
        <v>259</v>
      </c>
      <c r="D178" s="13" t="s">
        <v>259</v>
      </c>
      <c r="E178" s="13" t="s">
        <v>259</v>
      </c>
      <c r="F178" s="13" t="s">
        <v>259</v>
      </c>
      <c r="G178" s="151" t="s">
        <v>259</v>
      </c>
      <c r="H178" s="152" t="s">
        <v>259</v>
      </c>
      <c r="I178" s="244" t="s">
        <v>259</v>
      </c>
      <c r="J178" s="175" t="s">
        <v>259</v>
      </c>
      <c r="K178" s="259" t="s">
        <v>259</v>
      </c>
      <c r="L178" s="152" t="s">
        <v>259</v>
      </c>
      <c r="M178" s="152" t="s">
        <v>259</v>
      </c>
      <c r="N178" s="152" t="s">
        <v>259</v>
      </c>
      <c r="O178" s="13" t="s">
        <v>259</v>
      </c>
      <c r="P178" s="13" t="s">
        <v>259</v>
      </c>
      <c r="Q178" s="13" t="s">
        <v>259</v>
      </c>
      <c r="R178" s="13" t="s">
        <v>259</v>
      </c>
      <c r="S178" s="13" t="s">
        <v>259</v>
      </c>
      <c r="T178" s="2" t="str">
        <f>IF(Config!$B$2='Data Validations'!$E$2,Text!B178,IF(Config!$B$2='Data Validations'!$E$3,Text!C178,"Select a lanaguage in config"))</f>
        <v>_</v>
      </c>
      <c r="U178" s="13" t="s">
        <v>259</v>
      </c>
      <c r="V178" s="13" t="s">
        <v>259</v>
      </c>
      <c r="W178" s="13" t="s">
        <v>259</v>
      </c>
      <c r="X178" s="13" t="s">
        <v>259</v>
      </c>
      <c r="Y178" s="13" t="s">
        <v>259</v>
      </c>
      <c r="Z178" s="13" t="s">
        <v>259</v>
      </c>
      <c r="AA178" s="13" t="s">
        <v>259</v>
      </c>
      <c r="AB178" s="264"/>
      <c r="AC178" s="2"/>
      <c r="AD178" s="2"/>
    </row>
    <row r="179" spans="1:31" ht="15" customHeight="1" x14ac:dyDescent="0.45">
      <c r="A179" s="289" t="s">
        <v>1253</v>
      </c>
      <c r="B179" s="1" t="s">
        <v>1450</v>
      </c>
      <c r="C179" s="1" t="s">
        <v>239</v>
      </c>
      <c r="D179" s="6" t="str">
        <f>CONCATENATE(ROW(A126),",",ROW(A163),",",ROW(A176),",",ROW(A177))</f>
        <v>126,163,176,177</v>
      </c>
      <c r="E179" s="6" t="s">
        <v>310</v>
      </c>
      <c r="F179" s="13" t="s">
        <v>54</v>
      </c>
      <c r="G179" s="158"/>
      <c r="H179" s="155"/>
      <c r="I179" s="245"/>
      <c r="J179" s="177"/>
      <c r="K179" s="41"/>
      <c r="L179" s="14" t="s">
        <v>54</v>
      </c>
      <c r="M179" s="14" t="s">
        <v>54</v>
      </c>
      <c r="N179" s="14" t="s">
        <v>54</v>
      </c>
      <c r="O179" s="14"/>
      <c r="P179" s="14"/>
      <c r="Q179" s="2"/>
      <c r="R179" s="2"/>
      <c r="S179" s="2" t="s">
        <v>305</v>
      </c>
      <c r="T179" s="2" t="str">
        <f>IF(Config!$B$2='Data Validations'!$E$2,Text!B179,IF(Config!$B$2='Data Validations'!$E$3,Text!C179,"Select a lanaguage in config"))</f>
        <v>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analyze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v>
      </c>
      <c r="U179" s="2" t="s">
        <v>382</v>
      </c>
      <c r="V179" s="120" t="s">
        <v>312</v>
      </c>
      <c r="W179" s="10" t="s">
        <v>280</v>
      </c>
      <c r="X179" s="26" t="s">
        <v>530</v>
      </c>
      <c r="Y179" s="26" t="s">
        <v>531</v>
      </c>
      <c r="Z179" s="26" t="s">
        <v>1272</v>
      </c>
      <c r="AA179" s="2" t="s">
        <v>238</v>
      </c>
      <c r="AD179" s="1" t="s">
        <v>1511</v>
      </c>
    </row>
    <row r="180" spans="1:31" ht="15" customHeight="1" x14ac:dyDescent="0.45">
      <c r="A180" s="289" t="s">
        <v>114</v>
      </c>
      <c r="B180" s="1" t="s">
        <v>1452</v>
      </c>
      <c r="C180" s="1" t="s">
        <v>239</v>
      </c>
      <c r="D180" s="6"/>
      <c r="E180" s="6"/>
      <c r="F180" s="13" t="s">
        <v>54</v>
      </c>
      <c r="G180" s="153"/>
      <c r="H180" s="155"/>
      <c r="I180" s="245"/>
      <c r="J180" s="177"/>
      <c r="K180" s="41"/>
      <c r="L180" s="14" t="s">
        <v>54</v>
      </c>
      <c r="M180" s="14" t="s">
        <v>54</v>
      </c>
      <c r="N180" s="14" t="s">
        <v>54</v>
      </c>
      <c r="O180" s="14"/>
      <c r="P180" s="14"/>
      <c r="Q180" s="2"/>
      <c r="R180" s="2"/>
      <c r="S180" s="2" t="s">
        <v>305</v>
      </c>
      <c r="T180" s="2" t="str">
        <f>IF(Config!$B$2='Data Validations'!$E$2,Text!B180,IF(Config!$B$2='Data Validations'!$E$3,Text!C180,"Select a lanaguage in config"))</f>
        <v>Microsoft Defender Threat Intelligence (Defender TI) is a platform that streamlines triage, incident response, threat hunting, vulnerability management, and cyber threat intelligence analyst workflows when conducting threat infrastructure analysis and gathering threat intelligence. Typically when gathering threat intelligence data, security teams have to look to multiple sources whilst also constantly re-prioritizing what they have to tackle. Defender TI streamlines this process giving security teams automatically sourced and collated threat intelligence greatly saving time and improving their ability to respond.</v>
      </c>
      <c r="U180" s="2" t="s">
        <v>382</v>
      </c>
      <c r="V180" s="120" t="s">
        <v>312</v>
      </c>
      <c r="W180" s="10" t="s">
        <v>280</v>
      </c>
      <c r="X180" s="4" t="s">
        <v>532</v>
      </c>
      <c r="Y180" s="39" t="s">
        <v>533</v>
      </c>
      <c r="Z180" s="26" t="s">
        <v>1272</v>
      </c>
      <c r="AA180" s="26"/>
      <c r="AB180" s="264"/>
      <c r="AC180" s="60"/>
      <c r="AD180" s="2"/>
      <c r="AE180" s="2"/>
    </row>
    <row r="181" spans="1:31" ht="15" customHeight="1" x14ac:dyDescent="0.45">
      <c r="A181" s="289" t="s">
        <v>117</v>
      </c>
      <c r="B181" s="1" t="s">
        <v>376</v>
      </c>
      <c r="C181" s="1" t="s">
        <v>239</v>
      </c>
      <c r="D181" s="6"/>
      <c r="E181" s="6"/>
      <c r="F181" s="13" t="s">
        <v>54</v>
      </c>
      <c r="G181" s="153"/>
      <c r="H181" s="154"/>
      <c r="I181" s="245"/>
      <c r="J181" s="177"/>
      <c r="K181" s="41"/>
      <c r="L181" s="14" t="s">
        <v>54</v>
      </c>
      <c r="M181" s="14" t="s">
        <v>54</v>
      </c>
      <c r="N181" s="14" t="s">
        <v>54</v>
      </c>
      <c r="O181" s="14"/>
      <c r="P181" s="14"/>
      <c r="Q181" s="2"/>
      <c r="R181" s="2"/>
      <c r="S181" s="2" t="s">
        <v>305</v>
      </c>
      <c r="T181" s="2" t="str">
        <f>IF(Config!$B$2='Data Validations'!$E$2,Text!B181,IF(Config!$B$2='Data Validations'!$E$3,Text!C181,"Select a lanaguage in config"))</f>
        <v>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organization.</v>
      </c>
      <c r="U181" s="2" t="s">
        <v>534</v>
      </c>
      <c r="V181" s="120" t="s">
        <v>312</v>
      </c>
      <c r="W181" s="10" t="s">
        <v>280</v>
      </c>
      <c r="X181" s="29" t="s">
        <v>535</v>
      </c>
      <c r="Y181" s="39" t="s">
        <v>460</v>
      </c>
      <c r="Z181" s="26" t="s">
        <v>1273</v>
      </c>
      <c r="AA181" s="26"/>
      <c r="AB181" s="264"/>
      <c r="AC181" s="60"/>
      <c r="AD181" s="2"/>
      <c r="AE181" s="2"/>
    </row>
    <row r="182" spans="1:31" ht="15" customHeight="1" x14ac:dyDescent="0.45">
      <c r="A182" s="289" t="s">
        <v>83</v>
      </c>
      <c r="B182" s="1" t="s">
        <v>376</v>
      </c>
      <c r="C182" s="1" t="s">
        <v>239</v>
      </c>
      <c r="D182" s="6" t="str">
        <f>CONCATENATE(ROW(A126),",",ROW(A163),",",ROW(A176),",",ROW(A177),",",ROW(A179))</f>
        <v>126,163,176,177,179</v>
      </c>
      <c r="E182" s="6" t="s">
        <v>536</v>
      </c>
      <c r="F182" s="13" t="s">
        <v>54</v>
      </c>
      <c r="G182" s="156"/>
      <c r="H182" s="157"/>
      <c r="I182" s="245"/>
      <c r="J182" s="177"/>
      <c r="K182" s="41"/>
      <c r="L182" s="14" t="s">
        <v>54</v>
      </c>
      <c r="M182" s="14" t="s">
        <v>54</v>
      </c>
      <c r="N182" s="14" t="s">
        <v>54</v>
      </c>
      <c r="O182" s="14"/>
      <c r="P182" s="14"/>
      <c r="Q182" s="2"/>
      <c r="R182" s="2"/>
      <c r="S182" s="2" t="s">
        <v>305</v>
      </c>
      <c r="T182" s="2" t="str">
        <f>IF(Config!$B$2='Data Validations'!$E$2,Text!B182,IF(Config!$B$2='Data Validations'!$E$3,Text!C182,"Select a lanaguage in config"))</f>
        <v>Microsoft Sentinel is a scalable, cloud-native solution that provides: Security information and event management (SIEM) and Security orchestration, automation, and response (SOAR). Microsoft Sentinel delivers intelligent security analytics and threat intelligence across the enterprise. With Microsoft Sentinel, you get a single solution for attack detection, threat visibility, proactive hunting, and threat response. In short, Microsoft Sentinel is your bird's-eye view across the enterprise alleviating the stress of increasingly sophisticated attacks, increasing volumes of alerts, and long resolution time frames.</v>
      </c>
      <c r="U182" s="2" t="s">
        <v>382</v>
      </c>
      <c r="V182" s="120" t="s">
        <v>312</v>
      </c>
      <c r="W182" s="38" t="s">
        <v>537</v>
      </c>
      <c r="X182" s="39" t="s">
        <v>530</v>
      </c>
      <c r="Y182" s="26" t="s">
        <v>538</v>
      </c>
      <c r="Z182" s="26" t="s">
        <v>1272</v>
      </c>
      <c r="AA182" s="2" t="s">
        <v>238</v>
      </c>
      <c r="AB182" s="61" t="s">
        <v>539</v>
      </c>
      <c r="AC182" s="2" t="s">
        <v>540</v>
      </c>
      <c r="AD182" s="2"/>
    </row>
    <row r="183" spans="1:31" ht="15" customHeight="1" x14ac:dyDescent="0.45">
      <c r="A183" s="289" t="s">
        <v>1254</v>
      </c>
      <c r="B183" s="147" t="s">
        <v>1453</v>
      </c>
      <c r="C183" s="147" t="s">
        <v>239</v>
      </c>
      <c r="D183" s="148" t="s">
        <v>323</v>
      </c>
      <c r="E183" s="148"/>
      <c r="F183" s="13" t="s">
        <v>54</v>
      </c>
      <c r="G183" s="156"/>
      <c r="H183" s="154"/>
      <c r="I183" s="245"/>
      <c r="J183" s="177"/>
      <c r="K183" s="41"/>
      <c r="L183" s="14" t="s">
        <v>54</v>
      </c>
      <c r="M183" s="14" t="s">
        <v>54</v>
      </c>
      <c r="N183" s="14" t="s">
        <v>54</v>
      </c>
      <c r="O183" s="14"/>
      <c r="P183" s="14"/>
      <c r="Q183" s="14"/>
      <c r="R183" s="13"/>
      <c r="S183" s="2" t="s">
        <v>289</v>
      </c>
      <c r="T183" s="2" t="str">
        <f>IF(Config!$B$2='Data Validations'!$E$2,Text!B183,IF(Config!$B$2='Data Validations'!$E$3,Text!C183,"Select a lanaguage in config"))</f>
        <v>Use Security Copilot to bring the full power of OpenAI architecture to defend your organization at machine speed and scale.</v>
      </c>
      <c r="U183" s="13" t="s">
        <v>514</v>
      </c>
      <c r="V183" s="121" t="s">
        <v>1257</v>
      </c>
      <c r="W183" s="10" t="s">
        <v>1480</v>
      </c>
      <c r="X183" s="39" t="s">
        <v>1258</v>
      </c>
      <c r="Y183" s="262" t="s">
        <v>531</v>
      </c>
      <c r="Z183" s="262" t="s">
        <v>1274</v>
      </c>
      <c r="AA183" s="13" t="s">
        <v>238</v>
      </c>
      <c r="AB183" s="61"/>
      <c r="AC183" s="2"/>
      <c r="AD183" s="2"/>
    </row>
    <row r="184" spans="1:31" ht="15" customHeight="1" x14ac:dyDescent="0.45">
      <c r="A184" s="3" t="s">
        <v>541</v>
      </c>
      <c r="B184" s="13" t="s">
        <v>229</v>
      </c>
      <c r="C184" s="13" t="s">
        <v>229</v>
      </c>
      <c r="D184" s="13" t="s">
        <v>229</v>
      </c>
      <c r="E184" s="13" t="s">
        <v>229</v>
      </c>
      <c r="F184" s="13" t="s">
        <v>229</v>
      </c>
      <c r="G184" s="151" t="s">
        <v>229</v>
      </c>
      <c r="H184" s="152" t="s">
        <v>229</v>
      </c>
      <c r="I184" s="244" t="s">
        <v>229</v>
      </c>
      <c r="J184" s="175" t="s">
        <v>229</v>
      </c>
      <c r="K184" s="259" t="s">
        <v>229</v>
      </c>
      <c r="L184" s="152" t="s">
        <v>229</v>
      </c>
      <c r="M184" s="152" t="s">
        <v>229</v>
      </c>
      <c r="N184" s="152" t="s">
        <v>229</v>
      </c>
      <c r="O184" s="13" t="s">
        <v>229</v>
      </c>
      <c r="P184" s="13" t="s">
        <v>229</v>
      </c>
      <c r="Q184" s="13" t="s">
        <v>229</v>
      </c>
      <c r="R184" s="13" t="s">
        <v>229</v>
      </c>
      <c r="S184" s="13" t="s">
        <v>229</v>
      </c>
      <c r="T184" s="2" t="str">
        <f>IF(Config!$B$2='Data Validations'!$E$2,Text!B184,IF(Config!$B$2='Data Validations'!$E$3,Text!C184,"Select a lanaguage in config"))</f>
        <v>__</v>
      </c>
      <c r="U184" s="13" t="s">
        <v>229</v>
      </c>
      <c r="V184" s="13" t="s">
        <v>229</v>
      </c>
      <c r="W184" s="13" t="s">
        <v>229</v>
      </c>
      <c r="X184" s="13" t="s">
        <v>229</v>
      </c>
      <c r="Y184" s="13" t="s">
        <v>229</v>
      </c>
      <c r="Z184" s="13" t="s">
        <v>229</v>
      </c>
      <c r="AA184" s="13" t="s">
        <v>229</v>
      </c>
      <c r="AB184" s="61" t="s">
        <v>542</v>
      </c>
      <c r="AC184" s="60" t="s">
        <v>543</v>
      </c>
      <c r="AD184" s="2"/>
    </row>
    <row r="185" spans="1:31" ht="15" customHeight="1" x14ac:dyDescent="0.45">
      <c r="A185" s="305" t="s">
        <v>544</v>
      </c>
      <c r="B185" s="13" t="s">
        <v>259</v>
      </c>
      <c r="C185" s="13" t="s">
        <v>259</v>
      </c>
      <c r="D185" s="13" t="s">
        <v>259</v>
      </c>
      <c r="E185" s="13" t="s">
        <v>259</v>
      </c>
      <c r="F185" s="13" t="s">
        <v>259</v>
      </c>
      <c r="G185" s="151" t="s">
        <v>259</v>
      </c>
      <c r="H185" s="152" t="s">
        <v>259</v>
      </c>
      <c r="I185" s="244" t="s">
        <v>259</v>
      </c>
      <c r="J185" s="175" t="s">
        <v>259</v>
      </c>
      <c r="K185" s="259" t="s">
        <v>259</v>
      </c>
      <c r="L185" s="152" t="s">
        <v>259</v>
      </c>
      <c r="M185" s="152" t="s">
        <v>259</v>
      </c>
      <c r="N185" s="152" t="s">
        <v>259</v>
      </c>
      <c r="O185" s="13" t="s">
        <v>259</v>
      </c>
      <c r="P185" s="13" t="s">
        <v>259</v>
      </c>
      <c r="Q185" s="13" t="s">
        <v>259</v>
      </c>
      <c r="R185" s="13" t="s">
        <v>259</v>
      </c>
      <c r="S185" s="13" t="s">
        <v>259</v>
      </c>
      <c r="T185" s="2" t="str">
        <f>IF(Config!$B$2='Data Validations'!$E$2,Text!B185,IF(Config!$B$2='Data Validations'!$E$3,Text!C185,"Select a lanaguage in config"))</f>
        <v>_</v>
      </c>
      <c r="U185" s="13" t="s">
        <v>259</v>
      </c>
      <c r="V185" s="13" t="s">
        <v>259</v>
      </c>
      <c r="W185" s="13" t="s">
        <v>259</v>
      </c>
      <c r="X185" s="13" t="s">
        <v>259</v>
      </c>
      <c r="Y185" s="13" t="s">
        <v>259</v>
      </c>
      <c r="Z185" s="13" t="s">
        <v>259</v>
      </c>
      <c r="AA185" s="13" t="s">
        <v>259</v>
      </c>
      <c r="AB185" s="61" t="s">
        <v>545</v>
      </c>
      <c r="AC185" s="2"/>
      <c r="AD185" s="2"/>
    </row>
    <row r="186" spans="1:31" ht="15" customHeight="1" x14ac:dyDescent="0.45">
      <c r="A186" s="306" t="s">
        <v>193</v>
      </c>
      <c r="B186" s="1" t="s">
        <v>323</v>
      </c>
      <c r="C186" s="1" t="s">
        <v>359</v>
      </c>
      <c r="D186" s="5"/>
      <c r="E186" s="5"/>
      <c r="F186" s="13" t="s">
        <v>54</v>
      </c>
      <c r="G186" s="165"/>
      <c r="H186" s="166"/>
      <c r="I186" s="250"/>
      <c r="J186" s="180"/>
      <c r="K186" s="41"/>
      <c r="L186" s="14" t="s">
        <v>54</v>
      </c>
      <c r="M186" s="14" t="s">
        <v>54</v>
      </c>
      <c r="N186" s="14" t="s">
        <v>54</v>
      </c>
      <c r="O186" s="14"/>
      <c r="P186" s="14"/>
      <c r="Q186" s="2"/>
      <c r="R186" s="2"/>
      <c r="S186" s="2" t="s">
        <v>289</v>
      </c>
      <c r="T186" s="2" t="str">
        <f>IF(Config!$B$2='Data Validations'!$E$2,Text!B186,IF(Config!$B$2='Data Validations'!$E$3,Text!C186,"Select a lanaguage in config"))</f>
        <v>Defining an organizations Classification Schema is the first step in understand their data and getting their data in to know state. Being able to articulate and quantify what is  important to an organization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v>
      </c>
      <c r="U186" s="2" t="s">
        <v>546</v>
      </c>
      <c r="V186" s="2" t="s">
        <v>323</v>
      </c>
      <c r="W186" s="2" t="s">
        <v>547</v>
      </c>
      <c r="X186" s="25" t="s">
        <v>1227</v>
      </c>
      <c r="Y186" s="26" t="s">
        <v>548</v>
      </c>
      <c r="Z186" s="25" t="s">
        <v>1270</v>
      </c>
      <c r="AA186" s="2" t="s">
        <v>549</v>
      </c>
      <c r="AB186" s="264"/>
      <c r="AC186" s="2"/>
      <c r="AD186" s="2"/>
    </row>
    <row r="187" spans="1:31" ht="15" customHeight="1" x14ac:dyDescent="0.45">
      <c r="A187" s="289" t="s">
        <v>189</v>
      </c>
      <c r="B187" s="1" t="s">
        <v>231</v>
      </c>
      <c r="C187" s="1" t="s">
        <v>232</v>
      </c>
      <c r="D187" s="6" t="str">
        <f>CONCATENATE(ROW(A186))</f>
        <v>186</v>
      </c>
      <c r="E187" s="5"/>
      <c r="F187" s="13" t="s">
        <v>54</v>
      </c>
      <c r="G187" s="156"/>
      <c r="H187" s="157"/>
      <c r="I187" s="245"/>
      <c r="J187" s="177"/>
      <c r="K187" s="41"/>
      <c r="L187" s="14" t="s">
        <v>54</v>
      </c>
      <c r="M187" s="14" t="s">
        <v>54</v>
      </c>
      <c r="N187" s="14" t="s">
        <v>54</v>
      </c>
      <c r="O187" s="14"/>
      <c r="P187" s="14"/>
      <c r="Q187" s="2"/>
      <c r="R187" s="2"/>
      <c r="S187" s="2" t="s">
        <v>305</v>
      </c>
      <c r="T187" s="2" t="str">
        <f>IF(Config!$B$2='Data Validations'!$E$2,Text!B187,IF(Config!$B$2='Data Validations'!$E$3,Text!C187,"Select a lanaguage in config"))</f>
        <v>The Sensitive Information Type is effectively the patterns within data Microsoft services look for, such as credit card numbers which contain 15 or 16 digits and may have the words AMEX or VISA around them. Defining the sensitive information types for an organization effectively allows them to translate what is important to them into Technology. In turn this allows services (technology) to enforce policies and controls around data that contains information that is important/sensitive to an organization.</v>
      </c>
      <c r="U187" s="2" t="s">
        <v>546</v>
      </c>
      <c r="V187" s="120" t="s">
        <v>1259</v>
      </c>
      <c r="W187" s="10" t="s">
        <v>550</v>
      </c>
      <c r="X187" s="26" t="s">
        <v>1228</v>
      </c>
      <c r="Y187" s="26" t="s">
        <v>548</v>
      </c>
      <c r="Z187" s="25" t="s">
        <v>1270</v>
      </c>
      <c r="AA187" s="2" t="s">
        <v>238</v>
      </c>
      <c r="AB187" s="264"/>
      <c r="AC187" s="2"/>
      <c r="AD187" s="1" t="s">
        <v>551</v>
      </c>
    </row>
    <row r="188" spans="1:31" ht="15" customHeight="1" x14ac:dyDescent="0.45">
      <c r="A188" s="289" t="s">
        <v>552</v>
      </c>
      <c r="B188" s="1" t="s">
        <v>231</v>
      </c>
      <c r="C188" s="1" t="s">
        <v>246</v>
      </c>
      <c r="D188" s="6" t="str">
        <f>CONCATENATE(ROW(A4),",",ROW(A186))</f>
        <v>4,186</v>
      </c>
      <c r="E188" s="6" t="s">
        <v>307</v>
      </c>
      <c r="F188" s="13" t="s">
        <v>54</v>
      </c>
      <c r="G188" s="156"/>
      <c r="H188" s="154"/>
      <c r="I188" s="245"/>
      <c r="J188" s="178"/>
      <c r="K188" s="41"/>
      <c r="L188" s="14" t="s">
        <v>54</v>
      </c>
      <c r="M188" s="14" t="s">
        <v>54</v>
      </c>
      <c r="N188" s="14" t="s">
        <v>54</v>
      </c>
      <c r="O188" s="14"/>
      <c r="P188" s="14"/>
      <c r="Q188" s="2"/>
      <c r="R188" s="2"/>
      <c r="S188" s="2" t="s">
        <v>261</v>
      </c>
      <c r="T188" s="2" t="str">
        <f>IF(Config!$B$2='Data Validations'!$E$2,Text!B188,IF(Config!$B$2='Data Validations'!$E$3,Text!C188,"Select a lanaguage in config"))</f>
        <v>organizations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v>
      </c>
      <c r="U188" s="2" t="s">
        <v>1218</v>
      </c>
      <c r="V188" s="120" t="s">
        <v>1259</v>
      </c>
      <c r="W188" s="10" t="s">
        <v>553</v>
      </c>
      <c r="X188" s="25" t="s">
        <v>1227</v>
      </c>
      <c r="Y188" s="26" t="s">
        <v>548</v>
      </c>
      <c r="Z188" s="25" t="s">
        <v>1270</v>
      </c>
      <c r="AA188" s="2" t="s">
        <v>238</v>
      </c>
      <c r="AB188" s="264"/>
      <c r="AC188" s="2"/>
      <c r="AD188" s="2"/>
    </row>
    <row r="189" spans="1:31" ht="15" customHeight="1" x14ac:dyDescent="0.45">
      <c r="A189" s="289" t="s">
        <v>554</v>
      </c>
      <c r="B189" s="1" t="s">
        <v>1499</v>
      </c>
      <c r="C189" s="1" t="s">
        <v>246</v>
      </c>
      <c r="D189" s="6" t="str">
        <f>CONCATENATE(ROW(A187))</f>
        <v>187</v>
      </c>
      <c r="E189" s="6" t="s">
        <v>307</v>
      </c>
      <c r="F189" s="13" t="s">
        <v>54</v>
      </c>
      <c r="G189" s="156"/>
      <c r="H189" s="154"/>
      <c r="I189" s="245"/>
      <c r="J189" s="176"/>
      <c r="K189" s="41"/>
      <c r="L189" s="14" t="s">
        <v>54</v>
      </c>
      <c r="M189" s="14" t="s">
        <v>54</v>
      </c>
      <c r="N189" s="14" t="s">
        <v>54</v>
      </c>
      <c r="O189" s="14"/>
      <c r="P189" s="14"/>
      <c r="Q189" s="2"/>
      <c r="R189" s="2"/>
      <c r="S189" s="2" t="s">
        <v>261</v>
      </c>
      <c r="T189" s="2" t="str">
        <f>IF(Config!$B$2='Data Validations'!$E$2,Text!B189,IF(Config!$B$2='Data Validations'!$E$3,Text!C189,"Select a lanaguage in config"))</f>
        <v>Automated labelling can the burden of labelling off end users and help reduce user error when classifying documents and does this through identification of Sensitive Information Types in data. Labelling automation can present itself directly to the end user  through Microsoft Office (Apps for Enterprise) applications in the form of forced labelling or recommendations of labels based on content. This can help ensure the correct label is applied and in turn ensure an appropriate control is applied.</v>
      </c>
      <c r="U189" s="2" t="s">
        <v>1218</v>
      </c>
      <c r="V189" s="120" t="s">
        <v>1259</v>
      </c>
      <c r="W189" s="21" t="s">
        <v>550</v>
      </c>
      <c r="X189" s="25" t="s">
        <v>1229</v>
      </c>
      <c r="Y189" s="26" t="s">
        <v>548</v>
      </c>
      <c r="Z189" s="25" t="s">
        <v>1270</v>
      </c>
      <c r="AA189" s="2" t="s">
        <v>238</v>
      </c>
      <c r="AB189" s="264"/>
      <c r="AC189" s="2"/>
      <c r="AD189" s="1" t="s">
        <v>551</v>
      </c>
    </row>
    <row r="190" spans="1:31" ht="15" customHeight="1" x14ac:dyDescent="0.45">
      <c r="A190" s="289" t="s">
        <v>555</v>
      </c>
      <c r="B190" s="1" t="s">
        <v>1499</v>
      </c>
      <c r="C190" s="1" t="s">
        <v>246</v>
      </c>
      <c r="D190" s="6" t="str">
        <f>CONCATENATE(ROW(A186))</f>
        <v>186</v>
      </c>
      <c r="E190" s="6" t="s">
        <v>310</v>
      </c>
      <c r="F190" s="13" t="s">
        <v>54</v>
      </c>
      <c r="G190" s="156"/>
      <c r="H190" s="157"/>
      <c r="I190" s="245"/>
      <c r="J190" s="177"/>
      <c r="K190" s="41"/>
      <c r="L190" s="14" t="s">
        <v>54</v>
      </c>
      <c r="M190" s="14" t="s">
        <v>54</v>
      </c>
      <c r="N190" s="14" t="s">
        <v>54</v>
      </c>
      <c r="O190" s="14"/>
      <c r="P190" s="14"/>
      <c r="Q190" s="2"/>
      <c r="R190" s="2"/>
      <c r="S190" s="2" t="s">
        <v>261</v>
      </c>
      <c r="T190" s="2" t="str">
        <f>IF(Config!$B$2='Data Validations'!$E$2,Text!B190,IF(Config!$B$2='Data Validations'!$E$3,Text!C190,"Select a lanaguage in config"))</f>
        <v>Trainable classifiers can be used to identify data that is not quantifiable. For example, invoices can be easily quantified through the pattern of invoice numbers, however contracts cannot be so easily quantified, especially when differentiating between different types of contracts (such as employee, commercial or vendor contracts). Trainable Classifiers can be used to understand how contracts are constructed, the relationships of words and context amongst other indicators and then refined through training with known good and known bad samples. This can include images, such as photos of credit cards. Although Trainable classifiers take some time to create, they can remove the burden off the end user of defining the correct classification of complex documents.</v>
      </c>
      <c r="U190" s="2" t="s">
        <v>546</v>
      </c>
      <c r="V190" s="120" t="s">
        <v>1259</v>
      </c>
      <c r="W190" s="10" t="s">
        <v>556</v>
      </c>
      <c r="X190" s="25" t="s">
        <v>1229</v>
      </c>
      <c r="Y190" s="26" t="s">
        <v>548</v>
      </c>
      <c r="Z190" s="25" t="s">
        <v>1270</v>
      </c>
      <c r="AA190" s="2" t="s">
        <v>238</v>
      </c>
      <c r="AB190" s="264"/>
      <c r="AC190" s="2"/>
      <c r="AD190" s="2"/>
    </row>
    <row r="191" spans="1:31" ht="15" customHeight="1" x14ac:dyDescent="0.45">
      <c r="A191" s="289" t="s">
        <v>557</v>
      </c>
      <c r="B191" s="1" t="s">
        <v>1499</v>
      </c>
      <c r="C191" s="1" t="s">
        <v>246</v>
      </c>
      <c r="D191" s="6" t="str">
        <f>CONCATENATE(ROW(A186))</f>
        <v>186</v>
      </c>
      <c r="E191" s="6" t="s">
        <v>310</v>
      </c>
      <c r="F191" s="13" t="s">
        <v>54</v>
      </c>
      <c r="G191" s="156"/>
      <c r="H191" s="157"/>
      <c r="I191" s="245"/>
      <c r="J191" s="177"/>
      <c r="K191" s="41"/>
      <c r="L191" s="14" t="s">
        <v>54</v>
      </c>
      <c r="M191" s="14" t="s">
        <v>54</v>
      </c>
      <c r="N191" s="14" t="s">
        <v>54</v>
      </c>
      <c r="O191" s="14"/>
      <c r="P191" s="14"/>
      <c r="Q191" s="2"/>
      <c r="R191" s="2"/>
      <c r="S191" s="2" t="s">
        <v>261</v>
      </c>
      <c r="T191" s="2" t="str">
        <f>IF(Config!$B$2='Data Validations'!$E$2,Text!B191,IF(Config!$B$2='Data Validations'!$E$3,Text!C191,"Select a lanaguage in config"))</f>
        <v>Exact Data Match (EDM) is used to create a dynamic Sensitive Information Type that is based on the content of a sequential database. Rather than having to define each type of data within a database - such as names, addresses, reference numbers etc. - EDM can detect is data has been directly copied from the database and apply a control based on this Sensitive Information Type. EDM can refresh it's index of content on a daily basis and scan over one hundred million rows of data from a single database in a night, dynamically refreshing the Sensitive Information Type. This can help protect highly sensitive data as well as easing the burden on end users when determining the appropriate classification of data from the database.</v>
      </c>
      <c r="U191" s="2" t="s">
        <v>546</v>
      </c>
      <c r="V191" s="120" t="s">
        <v>1259</v>
      </c>
      <c r="W191" s="10" t="s">
        <v>556</v>
      </c>
      <c r="X191" s="25" t="s">
        <v>1229</v>
      </c>
      <c r="Y191" s="26" t="s">
        <v>548</v>
      </c>
      <c r="Z191" s="25" t="s">
        <v>1270</v>
      </c>
      <c r="AA191" s="2" t="s">
        <v>238</v>
      </c>
      <c r="AB191" s="264"/>
      <c r="AC191" s="2"/>
      <c r="AD191" s="1" t="s">
        <v>551</v>
      </c>
    </row>
    <row r="192" spans="1:31" ht="15" customHeight="1" x14ac:dyDescent="0.45">
      <c r="A192" s="289" t="s">
        <v>558</v>
      </c>
      <c r="B192" s="1" t="s">
        <v>1454</v>
      </c>
      <c r="C192" s="1" t="s">
        <v>246</v>
      </c>
      <c r="D192" s="6" t="str">
        <f>CONCATENATE(ROW(A4))</f>
        <v>4</v>
      </c>
      <c r="E192" s="6" t="s">
        <v>307</v>
      </c>
      <c r="F192" s="13" t="s">
        <v>54</v>
      </c>
      <c r="G192" s="158"/>
      <c r="H192" s="155"/>
      <c r="I192" s="245"/>
      <c r="J192" s="177"/>
      <c r="K192" s="41"/>
      <c r="L192" s="14" t="s">
        <v>54</v>
      </c>
      <c r="M192" s="14" t="s">
        <v>54</v>
      </c>
      <c r="N192" s="14" t="s">
        <v>54</v>
      </c>
      <c r="O192" s="14"/>
      <c r="P192" s="14"/>
      <c r="Q192" s="2"/>
      <c r="R192" s="2"/>
      <c r="S192" s="2" t="s">
        <v>305</v>
      </c>
      <c r="T192" s="2" t="str">
        <f>IF(Config!$B$2='Data Validations'!$E$2,Text!B192,IF(Config!$B$2='Data Validations'!$E$3,Text!C192,"Select a lanaguage in config"))</f>
        <v>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organization, rationalise these and then provide controls by sanctioning acceptable apps and unsanctioning risky apps. When coupled with outputs from Content Explorer and the Labelling scanner, an organization can quantify the risk of data leakage (by comparing who has access to sensitive data and see where it is going)</v>
      </c>
      <c r="U192" s="2" t="s">
        <v>559</v>
      </c>
      <c r="V192" s="120" t="s">
        <v>312</v>
      </c>
      <c r="W192" s="10" t="s">
        <v>515</v>
      </c>
      <c r="X192" s="26" t="s">
        <v>281</v>
      </c>
      <c r="Y192" s="26" t="s">
        <v>560</v>
      </c>
      <c r="Z192" s="25" t="s">
        <v>1270</v>
      </c>
      <c r="AA192" s="2" t="s">
        <v>238</v>
      </c>
      <c r="AB192" s="264"/>
      <c r="AC192" s="2" t="s">
        <v>543</v>
      </c>
      <c r="AD192" s="1" t="s">
        <v>551</v>
      </c>
    </row>
    <row r="193" spans="1:30" ht="15" customHeight="1" x14ac:dyDescent="0.45">
      <c r="A193" s="289" t="s">
        <v>561</v>
      </c>
      <c r="B193" s="1" t="s">
        <v>231</v>
      </c>
      <c r="C193" s="1" t="s">
        <v>246</v>
      </c>
      <c r="D193" s="6" t="str">
        <f>CONCATENATE(ROW(A187))</f>
        <v>187</v>
      </c>
      <c r="E193" s="6"/>
      <c r="F193" s="13" t="s">
        <v>54</v>
      </c>
      <c r="G193" s="153"/>
      <c r="H193" s="154"/>
      <c r="I193" s="246"/>
      <c r="J193" s="177"/>
      <c r="K193" s="41"/>
      <c r="L193" s="14" t="s">
        <v>54</v>
      </c>
      <c r="M193" s="14" t="s">
        <v>54</v>
      </c>
      <c r="N193" s="14" t="s">
        <v>54</v>
      </c>
      <c r="O193" s="14"/>
      <c r="P193" s="14"/>
      <c r="Q193" s="2"/>
      <c r="R193" s="2"/>
      <c r="S193" s="2" t="s">
        <v>233</v>
      </c>
      <c r="T193" s="2" t="str">
        <f>IF(Config!$B$2='Data Validations'!$E$2,Text!B193,IF(Config!$B$2='Data Validations'!$E$3,Text!C193,"Select a lanaguage in config"))</f>
        <v>It is typically a fair assumption for most organizations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v>
      </c>
      <c r="U193" s="2" t="s">
        <v>1219</v>
      </c>
      <c r="V193" s="120" t="s">
        <v>1259</v>
      </c>
      <c r="W193" s="10" t="s">
        <v>562</v>
      </c>
      <c r="X193" s="26" t="s">
        <v>1230</v>
      </c>
      <c r="Y193" s="26" t="s">
        <v>548</v>
      </c>
      <c r="Z193" s="25" t="s">
        <v>1270</v>
      </c>
      <c r="AA193" s="2" t="s">
        <v>238</v>
      </c>
      <c r="AB193" s="264"/>
      <c r="AC193" s="2"/>
      <c r="AD193" s="1" t="s">
        <v>551</v>
      </c>
    </row>
    <row r="194" spans="1:30" ht="15" customHeight="1" x14ac:dyDescent="0.45">
      <c r="A194" s="289" t="s">
        <v>563</v>
      </c>
      <c r="B194" s="1" t="s">
        <v>1499</v>
      </c>
      <c r="C194" s="1" t="s">
        <v>246</v>
      </c>
      <c r="D194" s="6" t="str">
        <f>CONCATENATE(ROW(A189))</f>
        <v>189</v>
      </c>
      <c r="E194" s="6"/>
      <c r="F194" s="13" t="s">
        <v>54</v>
      </c>
      <c r="G194" s="153"/>
      <c r="H194" s="154"/>
      <c r="I194" s="246"/>
      <c r="J194" s="176"/>
      <c r="K194" s="41"/>
      <c r="L194" s="14" t="s">
        <v>54</v>
      </c>
      <c r="M194" s="14" t="s">
        <v>54</v>
      </c>
      <c r="N194" s="14" t="s">
        <v>54</v>
      </c>
      <c r="O194" s="14"/>
      <c r="P194" s="14"/>
      <c r="Q194" s="2"/>
      <c r="R194" s="2"/>
      <c r="S194" s="2" t="s">
        <v>233</v>
      </c>
      <c r="T194" s="2" t="str">
        <f>IF(Config!$B$2='Data Validations'!$E$2,Text!B194,IF(Config!$B$2='Data Validations'!$E$3,Text!C194,"Select a lanaguage in config"))</f>
        <v>The Microsoft Purview Labelling Scanner can be used to classify, label and protect documents based on auto labelling conditions, which are in turn based on Sensitive Information types. The scanner can run continuously, labelling data that needs to reside in on-premises shares, such as data for line of business apps. Labelled data can be protected by Microsoft 365 DLP using the meta data values  to trigger rules.</v>
      </c>
      <c r="U194" s="2" t="s">
        <v>1219</v>
      </c>
      <c r="V194" s="120" t="s">
        <v>1259</v>
      </c>
      <c r="W194" s="10" t="s">
        <v>562</v>
      </c>
      <c r="X194" s="26" t="s">
        <v>1230</v>
      </c>
      <c r="Y194" s="26" t="s">
        <v>548</v>
      </c>
      <c r="Z194" s="25" t="s">
        <v>1270</v>
      </c>
      <c r="AA194" s="2" t="s">
        <v>238</v>
      </c>
      <c r="AB194" s="264"/>
      <c r="AC194" s="2"/>
      <c r="AD194" s="2"/>
    </row>
    <row r="195" spans="1:30" ht="15" customHeight="1" x14ac:dyDescent="0.45">
      <c r="A195" s="289" t="s">
        <v>564</v>
      </c>
      <c r="B195" s="1" t="s">
        <v>1499</v>
      </c>
      <c r="C195" s="1" t="s">
        <v>246</v>
      </c>
      <c r="D195" s="5" t="str">
        <f>CONCATENATE(ROW(A188),",",ROW(A189),",",ROW(A213))</f>
        <v>188,189,213</v>
      </c>
      <c r="E195" s="6"/>
      <c r="F195" s="13" t="s">
        <v>54</v>
      </c>
      <c r="G195" s="168"/>
      <c r="H195" s="169"/>
      <c r="I195" s="251"/>
      <c r="J195" s="181"/>
      <c r="K195" s="41"/>
      <c r="L195" s="14" t="s">
        <v>54</v>
      </c>
      <c r="M195" s="14" t="s">
        <v>54</v>
      </c>
      <c r="N195" s="14" t="s">
        <v>54</v>
      </c>
      <c r="O195" s="14"/>
      <c r="P195" s="14"/>
      <c r="Q195" s="2"/>
      <c r="R195" s="2"/>
      <c r="S195" s="2" t="s">
        <v>233</v>
      </c>
      <c r="T195" s="2" t="str">
        <f>IF(Config!$B$2='Data Validations'!$E$2,Text!B195,IF(Config!$B$2='Data Validations'!$E$3,Text!C195,"Select a lanaguage in config"))</f>
        <v>Content explorer shows a current snapshot of the items that have a sensitivity label, a retention label or have been classified as a sensitive information type in your organization. This can make it very easy to understand where an organizations sensitive data is stored in Microsoft 365.</v>
      </c>
      <c r="U195" s="2" t="s">
        <v>1219</v>
      </c>
      <c r="V195" s="120" t="s">
        <v>1259</v>
      </c>
      <c r="W195" s="22" t="s">
        <v>565</v>
      </c>
      <c r="X195" s="36" t="s">
        <v>566</v>
      </c>
      <c r="Y195" s="26" t="s">
        <v>548</v>
      </c>
      <c r="Z195" s="25" t="s">
        <v>1270</v>
      </c>
      <c r="AA195" s="62"/>
      <c r="AB195" s="267"/>
      <c r="AC195" s="2"/>
      <c r="AD195" s="2"/>
    </row>
    <row r="196" spans="1:30" ht="15" customHeight="1" x14ac:dyDescent="0.45">
      <c r="A196" s="305" t="s">
        <v>567</v>
      </c>
      <c r="B196" s="13" t="s">
        <v>259</v>
      </c>
      <c r="C196" s="13" t="s">
        <v>259</v>
      </c>
      <c r="D196" s="13" t="s">
        <v>259</v>
      </c>
      <c r="E196" s="13" t="s">
        <v>259</v>
      </c>
      <c r="F196" s="13" t="s">
        <v>259</v>
      </c>
      <c r="G196" s="170" t="s">
        <v>259</v>
      </c>
      <c r="H196" s="171" t="s">
        <v>259</v>
      </c>
      <c r="I196" s="257" t="s">
        <v>259</v>
      </c>
      <c r="J196" s="182" t="s">
        <v>259</v>
      </c>
      <c r="K196" s="261" t="s">
        <v>259</v>
      </c>
      <c r="L196" s="171" t="s">
        <v>259</v>
      </c>
      <c r="M196" s="171" t="s">
        <v>259</v>
      </c>
      <c r="N196" s="171" t="s">
        <v>259</v>
      </c>
      <c r="O196" s="4" t="s">
        <v>259</v>
      </c>
      <c r="P196" s="4" t="s">
        <v>259</v>
      </c>
      <c r="Q196" s="4" t="s">
        <v>259</v>
      </c>
      <c r="R196" s="4" t="s">
        <v>259</v>
      </c>
      <c r="S196" s="4" t="s">
        <v>259</v>
      </c>
      <c r="T196" s="2" t="str">
        <f>IF(Config!$B$2='Data Validations'!$E$2,Text!B196,IF(Config!$B$2='Data Validations'!$E$3,Text!C196,"Select a lanaguage in config"))</f>
        <v>_</v>
      </c>
      <c r="U196" s="4" t="s">
        <v>259</v>
      </c>
      <c r="V196" s="4" t="s">
        <v>259</v>
      </c>
      <c r="W196" s="4" t="s">
        <v>259</v>
      </c>
      <c r="X196" s="4" t="s">
        <v>259</v>
      </c>
      <c r="Y196" s="4" t="s">
        <v>259</v>
      </c>
      <c r="Z196" s="4" t="s">
        <v>259</v>
      </c>
      <c r="AA196" s="4" t="s">
        <v>259</v>
      </c>
      <c r="AB196" s="268" t="s">
        <v>568</v>
      </c>
      <c r="AC196" s="2" t="s">
        <v>543</v>
      </c>
      <c r="AD196" s="1" t="s">
        <v>323</v>
      </c>
    </row>
    <row r="197" spans="1:30" ht="15" customHeight="1" x14ac:dyDescent="0.45">
      <c r="A197" s="289" t="s">
        <v>1425</v>
      </c>
      <c r="B197" s="1" t="s">
        <v>231</v>
      </c>
      <c r="C197" s="1" t="s">
        <v>232</v>
      </c>
      <c r="D197" s="6" t="str">
        <f>CONCATENATE(ROW(A8))</f>
        <v>8</v>
      </c>
      <c r="E197" s="6" t="s">
        <v>247</v>
      </c>
      <c r="F197" s="13" t="s">
        <v>54</v>
      </c>
      <c r="G197" s="153"/>
      <c r="H197" s="155"/>
      <c r="I197" s="245"/>
      <c r="J197" s="176"/>
      <c r="K197" s="41"/>
      <c r="L197" s="14" t="s">
        <v>54</v>
      </c>
      <c r="M197" s="14" t="s">
        <v>54</v>
      </c>
      <c r="N197" s="14" t="s">
        <v>54</v>
      </c>
      <c r="O197" s="14"/>
      <c r="P197" s="14"/>
      <c r="Q197" s="2"/>
      <c r="R197" s="2"/>
      <c r="S197" s="2" t="s">
        <v>305</v>
      </c>
      <c r="T197" s="2" t="str">
        <f>IF(Config!$B$2='Data Validations'!$E$2,Text!B197,IF(Config!$B$2='Data Validations'!$E$3,Text!C197,"Select a lanaguage in config"))</f>
        <v>The organizational External Sharing settings allows organizations to control their guest (external) access to SharePoint and OneDrive, in turn controlling guest management. Although the setting is at the organization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v>
      </c>
      <c r="U197" s="2" t="s">
        <v>569</v>
      </c>
      <c r="V197" s="120" t="s">
        <v>263</v>
      </c>
      <c r="W197" s="10" t="s">
        <v>570</v>
      </c>
      <c r="X197" s="26" t="s">
        <v>281</v>
      </c>
      <c r="Y197" s="26" t="s">
        <v>567</v>
      </c>
      <c r="Z197" s="25" t="s">
        <v>1270</v>
      </c>
      <c r="AA197" s="2" t="s">
        <v>238</v>
      </c>
      <c r="AB197" s="264"/>
      <c r="AC197" s="2" t="s">
        <v>543</v>
      </c>
      <c r="AD197" s="1" t="s">
        <v>571</v>
      </c>
    </row>
    <row r="198" spans="1:30" ht="15" customHeight="1" x14ac:dyDescent="0.45">
      <c r="A198" s="289" t="s">
        <v>110</v>
      </c>
      <c r="B198" s="1" t="s">
        <v>1455</v>
      </c>
      <c r="C198" s="1" t="s">
        <v>246</v>
      </c>
      <c r="D198" s="5" t="str">
        <f>CONCATENATE(ROW(A4),",",ROW(A187))</f>
        <v>4,187</v>
      </c>
      <c r="E198" s="5" t="s">
        <v>310</v>
      </c>
      <c r="F198" s="13" t="s">
        <v>54</v>
      </c>
      <c r="G198" s="167"/>
      <c r="H198" s="154"/>
      <c r="I198" s="245"/>
      <c r="J198" s="176"/>
      <c r="K198" s="41"/>
      <c r="L198" s="14" t="s">
        <v>54</v>
      </c>
      <c r="M198" s="14" t="s">
        <v>54</v>
      </c>
      <c r="N198" s="14" t="s">
        <v>54</v>
      </c>
      <c r="O198" s="14"/>
      <c r="P198" s="14"/>
      <c r="Q198" s="2"/>
      <c r="R198" s="2"/>
      <c r="S198" s="2" t="s">
        <v>289</v>
      </c>
      <c r="T198" s="2">
        <f>IF(Config!$B$2='Data Validations'!$E$2,Text!B198,IF(Config!$B$2='Data Validations'!$E$3,Text!C198,"Select a lanaguage in config"))</f>
        <v>0</v>
      </c>
      <c r="U198" s="2" t="s">
        <v>572</v>
      </c>
      <c r="V198" s="120" t="s">
        <v>312</v>
      </c>
      <c r="W198" s="10" t="s">
        <v>515</v>
      </c>
      <c r="X198" s="25" t="s">
        <v>1247</v>
      </c>
      <c r="Y198" s="26" t="s">
        <v>573</v>
      </c>
      <c r="Z198" s="26" t="s">
        <v>1271</v>
      </c>
      <c r="AA198" s="2" t="s">
        <v>238</v>
      </c>
      <c r="AB198" s="264"/>
      <c r="AC198" s="2" t="s">
        <v>543</v>
      </c>
      <c r="AD198" s="1" t="s">
        <v>323</v>
      </c>
    </row>
    <row r="199" spans="1:30" ht="15" customHeight="1" x14ac:dyDescent="0.45">
      <c r="A199" s="289" t="s">
        <v>176</v>
      </c>
      <c r="B199" s="1" t="s">
        <v>252</v>
      </c>
      <c r="C199" s="1" t="s">
        <v>239</v>
      </c>
      <c r="D199" s="6" t="str">
        <f>CONCATENATE(ROW(A8),",",ROW(A9))</f>
        <v>8,9</v>
      </c>
      <c r="E199" s="6" t="s">
        <v>247</v>
      </c>
      <c r="F199" s="13" t="s">
        <v>54</v>
      </c>
      <c r="G199" s="156"/>
      <c r="H199" s="154"/>
      <c r="I199" s="245"/>
      <c r="J199" s="177"/>
      <c r="K199" s="41"/>
      <c r="L199" s="14" t="s">
        <v>54</v>
      </c>
      <c r="M199" s="14" t="s">
        <v>54</v>
      </c>
      <c r="N199" s="14" t="s">
        <v>54</v>
      </c>
      <c r="O199" s="14"/>
      <c r="P199" s="14"/>
      <c r="Q199" s="2"/>
      <c r="R199" s="2"/>
      <c r="S199" s="2" t="s">
        <v>289</v>
      </c>
      <c r="T199" s="2" t="str">
        <f>IF(Config!$B$2='Data Validations'!$E$2,Text!B199,IF(Config!$B$2='Data Validations'!$E$3,Text!C199,"Select a lanaguage in config"))</f>
        <v>organizations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v>
      </c>
      <c r="U199" s="2" t="s">
        <v>569</v>
      </c>
      <c r="V199" s="120" t="s">
        <v>1259</v>
      </c>
      <c r="W199" s="10" t="s">
        <v>574</v>
      </c>
      <c r="X199" s="26" t="s">
        <v>575</v>
      </c>
      <c r="Y199" s="26" t="s">
        <v>567</v>
      </c>
      <c r="Z199" s="25" t="s">
        <v>1270</v>
      </c>
      <c r="AA199" s="2" t="s">
        <v>238</v>
      </c>
      <c r="AB199" s="264"/>
      <c r="AC199" s="2" t="s">
        <v>543</v>
      </c>
      <c r="AD199" s="1" t="s">
        <v>576</v>
      </c>
    </row>
    <row r="200" spans="1:30" ht="15" customHeight="1" x14ac:dyDescent="0.45">
      <c r="A200" s="297" t="s">
        <v>577</v>
      </c>
      <c r="B200" s="1" t="s">
        <v>1499</v>
      </c>
      <c r="C200" s="1" t="s">
        <v>232</v>
      </c>
      <c r="D200" s="6" t="str">
        <f>CONCATENATE(ROW(A199))</f>
        <v>199</v>
      </c>
      <c r="E200" s="6"/>
      <c r="F200" s="13" t="s">
        <v>54</v>
      </c>
      <c r="G200" s="153"/>
      <c r="H200" s="155"/>
      <c r="I200" s="245"/>
      <c r="J200" s="177"/>
      <c r="K200" s="41"/>
      <c r="L200" s="14" t="s">
        <v>54</v>
      </c>
      <c r="M200" s="14" t="s">
        <v>54</v>
      </c>
      <c r="N200" s="14" t="s">
        <v>54</v>
      </c>
      <c r="O200" s="14"/>
      <c r="P200" s="14"/>
      <c r="Q200" s="2"/>
      <c r="R200" s="2"/>
      <c r="S200" s="2" t="s">
        <v>578</v>
      </c>
      <c r="T200" s="2" t="str">
        <f>IF(Config!$B$2='Data Validations'!$E$2,Text!B200,IF(Config!$B$2='Data Validations'!$E$3,Text!C200,"Select a lanaguage in config"))</f>
        <v>Force a pop up in Outlook when a user attempts to share sensitive data in a way that matches the respective DLP control, which user can optionally override with justiifcation. This forces the user to check recipients before sending. Suggesting using catch all conditons and the "NOT" condition for exclusions (i.e., no pop up when sending to trusted partners)</v>
      </c>
      <c r="U200" s="2" t="s">
        <v>569</v>
      </c>
      <c r="V200" s="120" t="s">
        <v>1259</v>
      </c>
      <c r="W200" s="22" t="s">
        <v>565</v>
      </c>
      <c r="X200" s="26" t="s">
        <v>575</v>
      </c>
      <c r="Y200" s="26" t="s">
        <v>567</v>
      </c>
      <c r="Z200" s="26" t="s">
        <v>1271</v>
      </c>
      <c r="AA200" s="2" t="s">
        <v>238</v>
      </c>
      <c r="AB200" s="264"/>
      <c r="AC200" s="2"/>
      <c r="AD200" s="1"/>
    </row>
    <row r="201" spans="1:30" ht="15" customHeight="1" x14ac:dyDescent="0.45">
      <c r="A201" s="289" t="s">
        <v>579</v>
      </c>
      <c r="B201" s="1" t="s">
        <v>252</v>
      </c>
      <c r="C201" s="1" t="s">
        <v>239</v>
      </c>
      <c r="D201" s="6" t="str">
        <f>CONCATENATE(ROW(A187))</f>
        <v>187</v>
      </c>
      <c r="E201" s="6" t="s">
        <v>247</v>
      </c>
      <c r="F201" s="13" t="s">
        <v>54</v>
      </c>
      <c r="G201" s="153"/>
      <c r="H201" s="154"/>
      <c r="I201" s="245"/>
      <c r="J201" s="176"/>
      <c r="K201" s="41"/>
      <c r="L201" s="14" t="s">
        <v>54</v>
      </c>
      <c r="M201" s="14" t="s">
        <v>54</v>
      </c>
      <c r="N201" s="14" t="s">
        <v>54</v>
      </c>
      <c r="O201" s="14"/>
      <c r="P201" s="14"/>
      <c r="Q201" s="2"/>
      <c r="R201" s="2"/>
      <c r="S201" s="2" t="s">
        <v>289</v>
      </c>
      <c r="T201" s="2" t="str">
        <f>IF(Config!$B$2='Data Validations'!$E$2,Text!B201,IF(Config!$B$2='Data Validations'!$E$3,Text!C201,"Select a lanaguage in config"))</f>
        <v>Microsoft Purview Message Encryption (MPME, formally OME) can be used to send individually protected emails that only the intended recipients can view or action. Emails that organizations have protected with MPME effectively remain under that organizations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v>
      </c>
      <c r="U201" s="2" t="s">
        <v>569</v>
      </c>
      <c r="V201" s="120" t="s">
        <v>1259</v>
      </c>
      <c r="W201" s="21" t="s">
        <v>580</v>
      </c>
      <c r="X201" s="26" t="s">
        <v>575</v>
      </c>
      <c r="Y201" s="26" t="s">
        <v>567</v>
      </c>
      <c r="Z201" s="26" t="s">
        <v>1271</v>
      </c>
      <c r="AA201" s="2" t="s">
        <v>238</v>
      </c>
      <c r="AB201" s="264"/>
      <c r="AC201" s="2" t="s">
        <v>543</v>
      </c>
      <c r="AD201" s="1" t="s">
        <v>551</v>
      </c>
    </row>
    <row r="202" spans="1:30" ht="15" customHeight="1" x14ac:dyDescent="0.45">
      <c r="A202" s="297" t="s">
        <v>581</v>
      </c>
      <c r="B202" s="1" t="s">
        <v>1499</v>
      </c>
      <c r="C202" s="1" t="s">
        <v>232</v>
      </c>
      <c r="D202" s="6" t="str">
        <f>CONCATENATE(ROW(A201))</f>
        <v>201</v>
      </c>
      <c r="E202" s="6"/>
      <c r="F202" s="13" t="s">
        <v>54</v>
      </c>
      <c r="G202" s="153"/>
      <c r="H202" s="155"/>
      <c r="I202" s="245"/>
      <c r="J202" s="176"/>
      <c r="K202" s="41"/>
      <c r="L202" s="14" t="s">
        <v>54</v>
      </c>
      <c r="M202" s="14" t="s">
        <v>54</v>
      </c>
      <c r="N202" s="14" t="s">
        <v>54</v>
      </c>
      <c r="O202" s="14"/>
      <c r="P202" s="14"/>
      <c r="Q202" s="2"/>
      <c r="R202" s="2"/>
      <c r="S202" s="2" t="s">
        <v>289</v>
      </c>
      <c r="T202" s="2" t="str">
        <f>IF(Config!$B$2='Data Validations'!$E$2,Text!B202,IF(Config!$B$2='Data Validations'!$E$3,Text!C202,"Select a lanaguage in config"))</f>
        <v>Apply branding to messages forces the linked experince rather than the inline experience for recipients. Not only does this create a common user experince, but most importantly linked messages can be revoked by the sender  and the sending organizations admins</v>
      </c>
      <c r="U202" s="2" t="s">
        <v>569</v>
      </c>
      <c r="V202" s="120" t="s">
        <v>1259</v>
      </c>
      <c r="W202" s="21" t="s">
        <v>580</v>
      </c>
      <c r="X202" s="26" t="s">
        <v>582</v>
      </c>
      <c r="Y202" s="26" t="s">
        <v>567</v>
      </c>
      <c r="Z202" s="26" t="s">
        <v>1271</v>
      </c>
      <c r="AA202" s="2" t="s">
        <v>238</v>
      </c>
      <c r="AB202" s="264"/>
      <c r="AC202" s="2"/>
      <c r="AD202" s="1"/>
    </row>
    <row r="203" spans="1:30" ht="15" customHeight="1" x14ac:dyDescent="0.45">
      <c r="A203" s="289" t="s">
        <v>142</v>
      </c>
      <c r="B203" s="1" t="s">
        <v>1499</v>
      </c>
      <c r="C203" s="1" t="s">
        <v>239</v>
      </c>
      <c r="D203" s="6" t="str">
        <f>CONCATENATE(ROW(A9))</f>
        <v>9</v>
      </c>
      <c r="E203" s="6" t="s">
        <v>310</v>
      </c>
      <c r="F203" s="13" t="s">
        <v>54</v>
      </c>
      <c r="G203" s="153"/>
      <c r="H203" s="155"/>
      <c r="I203" s="245"/>
      <c r="J203" s="177"/>
      <c r="K203" s="41"/>
      <c r="L203" s="14" t="s">
        <v>54</v>
      </c>
      <c r="M203" s="14" t="s">
        <v>54</v>
      </c>
      <c r="N203" s="14" t="s">
        <v>54</v>
      </c>
      <c r="O203" s="14"/>
      <c r="P203" s="14"/>
      <c r="Q203" s="2"/>
      <c r="R203" s="2"/>
      <c r="S203" s="2" t="s">
        <v>289</v>
      </c>
      <c r="T203" s="2" t="str">
        <f>IF(Config!$B$2='Data Validations'!$E$2,Text!B203,IF(Config!$B$2='Data Validations'!$E$3,Text!C203,"Select a lanaguage in config"))</f>
        <v>Teams Data Loss Prevention extends Microsoft Purview Data Loss Prevention to Teams chat and channels. As an example, you can apply controls when someone attempts to share sensitive information in a Teams chat or channel with guests (external users). If you have a DLP policy defined to prevent this, messages with sensitive information that are sent to external users are deleted. This happens automatically, and within seconds, according to how your DLP policy is configured.</v>
      </c>
      <c r="U203" s="2" t="s">
        <v>569</v>
      </c>
      <c r="V203" s="120" t="s">
        <v>1259</v>
      </c>
      <c r="W203" s="10" t="s">
        <v>574</v>
      </c>
      <c r="X203" s="26" t="s">
        <v>575</v>
      </c>
      <c r="Y203" s="26" t="s">
        <v>567</v>
      </c>
      <c r="Z203" s="26" t="s">
        <v>1271</v>
      </c>
      <c r="AA203" s="2" t="s">
        <v>238</v>
      </c>
      <c r="AB203" s="264"/>
      <c r="AC203" s="2" t="s">
        <v>543</v>
      </c>
      <c r="AD203" s="1"/>
    </row>
    <row r="204" spans="1:30" ht="15" customHeight="1" x14ac:dyDescent="0.45">
      <c r="A204" s="289" t="s">
        <v>583</v>
      </c>
      <c r="B204" s="1" t="s">
        <v>1499</v>
      </c>
      <c r="C204" s="1" t="s">
        <v>239</v>
      </c>
      <c r="D204" s="6" t="str">
        <f>CONCATENATE(ROW(A105),",",ROW(A128))</f>
        <v>105,128</v>
      </c>
      <c r="E204" s="6"/>
      <c r="F204" s="13" t="s">
        <v>54</v>
      </c>
      <c r="G204" s="156"/>
      <c r="H204" s="154"/>
      <c r="I204" s="245"/>
      <c r="J204" s="177"/>
      <c r="K204" s="41"/>
      <c r="L204" s="14" t="s">
        <v>54</v>
      </c>
      <c r="M204" s="14" t="s">
        <v>54</v>
      </c>
      <c r="N204" s="14" t="s">
        <v>54</v>
      </c>
      <c r="O204" s="14"/>
      <c r="P204" s="14"/>
      <c r="Q204" s="2"/>
      <c r="R204" s="2"/>
      <c r="S204" s="2" t="s">
        <v>289</v>
      </c>
      <c r="T204" s="2" t="str">
        <f>IF(Config!$B$2='Data Validations'!$E$2,Text!B204,IF(Config!$B$2='Data Validations'!$E$3,Text!C204,"Select a lanaguage in config"))</f>
        <v>Endpoint data loss prevention (Endpoint DLP) extends the activity monitoring and protection capabilities of Microsoft Purview DLP to sensitive items that are physically stored on Windows 10, Windows 11, and macOS (three latest released versions) devices. Once devices are onboarded into the Microsoft Purview solutions - or via Microsoft Defender for Endpoints Plan 2. Once a device is onboarded, Endpoint DLP will detect when sensitive items are used and shared. Activities include copying sensitive data to the clipboard, copying data to unmanaged storage such as USB devices or Bluetooth devices, or to unsanctioned applications, both on the device and in the cloud. This gives you the visibility and control you need to ensure that they are used and protected properly, and to help prevent risky behaviour that might compromise them.</v>
      </c>
      <c r="U204" s="2" t="s">
        <v>569</v>
      </c>
      <c r="V204" s="120" t="s">
        <v>1259</v>
      </c>
      <c r="W204" s="10" t="s">
        <v>574</v>
      </c>
      <c r="X204" s="26" t="s">
        <v>584</v>
      </c>
      <c r="Y204" s="26" t="s">
        <v>567</v>
      </c>
      <c r="Z204" s="25" t="s">
        <v>1276</v>
      </c>
      <c r="AA204" s="2" t="s">
        <v>238</v>
      </c>
      <c r="AB204" s="264"/>
      <c r="AC204" s="2"/>
      <c r="AD204" s="1"/>
    </row>
    <row r="205" spans="1:30" ht="15" customHeight="1" x14ac:dyDescent="0.45">
      <c r="A205" s="289" t="s">
        <v>585</v>
      </c>
      <c r="B205" s="1" t="s">
        <v>1499</v>
      </c>
      <c r="C205" s="1" t="s">
        <v>239</v>
      </c>
      <c r="D205" s="6" t="str">
        <f>CONCATENATE(ROW(A193))</f>
        <v>193</v>
      </c>
      <c r="E205" s="6"/>
      <c r="F205" s="13" t="s">
        <v>54</v>
      </c>
      <c r="G205" s="156"/>
      <c r="H205" s="157"/>
      <c r="I205" s="245"/>
      <c r="J205" s="177"/>
      <c r="K205" s="41"/>
      <c r="L205" s="14" t="s">
        <v>54</v>
      </c>
      <c r="M205" s="14" t="s">
        <v>54</v>
      </c>
      <c r="N205" s="14" t="s">
        <v>54</v>
      </c>
      <c r="O205" s="14"/>
      <c r="P205" s="14"/>
      <c r="Q205" s="2"/>
      <c r="R205" s="2"/>
      <c r="S205" s="2" t="s">
        <v>305</v>
      </c>
      <c r="T205" s="2" t="str">
        <f>IF(Config!$B$2='Data Validations'!$E$2,Text!B205,IF(Config!$B$2='Data Validations'!$E$3,Text!C205,"Select a lanaguage in config"))</f>
        <v>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organization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v>
      </c>
      <c r="U205" s="2" t="s">
        <v>586</v>
      </c>
      <c r="V205" s="120" t="s">
        <v>1259</v>
      </c>
      <c r="W205" s="10" t="s">
        <v>574</v>
      </c>
      <c r="X205" s="26" t="s">
        <v>1231</v>
      </c>
      <c r="Y205" s="26" t="s">
        <v>567</v>
      </c>
      <c r="Z205" s="25" t="s">
        <v>1275</v>
      </c>
      <c r="AA205" s="2" t="s">
        <v>238</v>
      </c>
      <c r="AB205" s="264"/>
      <c r="AC205" s="2"/>
      <c r="AD205" s="1"/>
    </row>
    <row r="206" spans="1:30" ht="15" customHeight="1" x14ac:dyDescent="0.45">
      <c r="A206" s="289" t="s">
        <v>98</v>
      </c>
      <c r="B206" s="1" t="s">
        <v>1499</v>
      </c>
      <c r="C206" s="1" t="s">
        <v>239</v>
      </c>
      <c r="D206" s="6" t="str">
        <f>CONCATENATE(ROW(A105),",",ROW(A128),",",ROW(A187))</f>
        <v>105,128,187</v>
      </c>
      <c r="E206" s="6" t="s">
        <v>310</v>
      </c>
      <c r="F206" s="13" t="s">
        <v>54</v>
      </c>
      <c r="G206" s="156"/>
      <c r="H206" s="157"/>
      <c r="I206" s="245"/>
      <c r="J206" s="177"/>
      <c r="K206" s="41"/>
      <c r="L206" s="14" t="s">
        <v>54</v>
      </c>
      <c r="M206" s="14" t="s">
        <v>54</v>
      </c>
      <c r="N206" s="14" t="s">
        <v>54</v>
      </c>
      <c r="O206" s="14"/>
      <c r="P206" s="14"/>
      <c r="Q206" s="2"/>
      <c r="R206" s="2"/>
      <c r="S206" s="2" t="s">
        <v>305</v>
      </c>
      <c r="T206" s="2" t="str">
        <f>IF(Config!$B$2='Data Validations'!$E$2,Text!B206,IF(Config!$B$2='Data Validations'!$E$3,Text!C206,"Select a lanaguage in config"))</f>
        <v>Employees now have more access to create, manage, and share data across a broad spectrum of platforms and services. In most cases, organizations have limited resources and tools to identify and mitigate organization-wide risks while also meeting compliance requirements and employee privacy standards. These risks include potential data theft by departing employees and risk of data leaks of information outside your organization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v>
      </c>
      <c r="U206" s="2" t="s">
        <v>587</v>
      </c>
      <c r="V206" s="120" t="s">
        <v>1259</v>
      </c>
      <c r="W206" s="10" t="s">
        <v>588</v>
      </c>
      <c r="X206" s="25" t="s">
        <v>1248</v>
      </c>
      <c r="Y206" s="26" t="s">
        <v>589</v>
      </c>
      <c r="Z206" s="26" t="s">
        <v>1271</v>
      </c>
      <c r="AA206" s="2" t="s">
        <v>238</v>
      </c>
      <c r="AB206" s="264"/>
      <c r="AC206" s="2" t="s">
        <v>543</v>
      </c>
      <c r="AD206" s="1"/>
    </row>
    <row r="207" spans="1:30" ht="15" customHeight="1" x14ac:dyDescent="0.45">
      <c r="A207" s="297" t="s">
        <v>1430</v>
      </c>
      <c r="B207" s="1" t="s">
        <v>1499</v>
      </c>
      <c r="C207" s="147" t="s">
        <v>246</v>
      </c>
      <c r="D207" s="148" t="str">
        <f>CONCATENATE(ROW(A199),",",ROW(A206))</f>
        <v>199,206</v>
      </c>
      <c r="E207" s="148"/>
      <c r="F207" s="13" t="s">
        <v>54</v>
      </c>
      <c r="G207" s="153"/>
      <c r="H207" s="154"/>
      <c r="I207" s="245"/>
      <c r="J207" s="177"/>
      <c r="K207" s="41"/>
      <c r="L207" s="14" t="s">
        <v>54</v>
      </c>
      <c r="M207" s="14" t="s">
        <v>54</v>
      </c>
      <c r="N207" s="14" t="s">
        <v>54</v>
      </c>
      <c r="O207" s="14"/>
      <c r="P207" s="14"/>
      <c r="Q207" s="2"/>
      <c r="R207" s="2"/>
      <c r="S207" s="2" t="s">
        <v>305</v>
      </c>
      <c r="T207" s="2" t="str">
        <f>IF(Config!$B$2='Data Validations'!$E$2,Text!B207,IF(Config!$B$2='Data Validations'!$E$3,Text!C207,"Select a lanaguage in config"))</f>
        <v>Prevent users for taking actions, either malicously or accidentally which could be considered as risky - such as downloading a volume of content or sharing excessively. Adaptive DLP controls apply on the users risk score from Insider Risk Management. Appropriate controls can be applied based risk levels, such as policy tips only for low level risk, overrides required for medium level and block at high risk.</v>
      </c>
      <c r="U207" s="2" t="s">
        <v>569</v>
      </c>
      <c r="V207" s="120" t="s">
        <v>1259</v>
      </c>
      <c r="W207" s="38" t="s">
        <v>588</v>
      </c>
      <c r="X207" s="26" t="s">
        <v>575</v>
      </c>
      <c r="Y207" s="262" t="s">
        <v>567</v>
      </c>
      <c r="Z207" s="26" t="s">
        <v>1271</v>
      </c>
      <c r="AA207" s="13"/>
      <c r="AB207" s="264"/>
      <c r="AC207" s="2"/>
      <c r="AD207" s="1"/>
    </row>
    <row r="208" spans="1:30" ht="15" customHeight="1" x14ac:dyDescent="0.45">
      <c r="A208" s="297" t="s">
        <v>1260</v>
      </c>
      <c r="B208" s="1" t="s">
        <v>1499</v>
      </c>
      <c r="C208" s="147" t="s">
        <v>246</v>
      </c>
      <c r="D208" s="313">
        <v>196203</v>
      </c>
      <c r="E208" s="148"/>
      <c r="F208" s="13" t="s">
        <v>54</v>
      </c>
      <c r="G208" s="153"/>
      <c r="H208" s="154"/>
      <c r="I208" s="245"/>
      <c r="J208" s="177"/>
      <c r="K208" s="41"/>
      <c r="L208" s="14" t="s">
        <v>54</v>
      </c>
      <c r="M208" s="41" t="s">
        <v>54</v>
      </c>
      <c r="N208" s="41" t="s">
        <v>54</v>
      </c>
      <c r="O208" s="41"/>
      <c r="P208" s="41"/>
      <c r="Q208" s="41"/>
      <c r="R208" s="41"/>
      <c r="S208" s="2" t="s">
        <v>305</v>
      </c>
      <c r="T208" s="2" t="str">
        <f>IF(Config!$B$2='Data Validations'!$E$2,Text!B208,IF(Config!$B$2='Data Validations'!$E$3,Text!C208,"Select a lanaguage in config"))</f>
        <v>Use Data Security Posture Management (DSPM) to quickly identify unprotected sensitive data assets and potentially risky user activities in your organization.</v>
      </c>
      <c r="U208" s="2" t="s">
        <v>569</v>
      </c>
      <c r="V208" s="120" t="s">
        <v>1259</v>
      </c>
      <c r="W208" s="38" t="s">
        <v>1263</v>
      </c>
      <c r="X208" s="26" t="s">
        <v>575</v>
      </c>
      <c r="Y208" s="262" t="s">
        <v>1265</v>
      </c>
      <c r="Z208" s="26" t="s">
        <v>1271</v>
      </c>
      <c r="AA208" s="13"/>
      <c r="AB208" s="264"/>
      <c r="AC208" s="2"/>
      <c r="AD208" s="1"/>
    </row>
    <row r="209" spans="1:30" ht="15" customHeight="1" x14ac:dyDescent="0.45">
      <c r="A209" s="305" t="s">
        <v>573</v>
      </c>
      <c r="B209" s="13" t="s">
        <v>259</v>
      </c>
      <c r="C209" s="13" t="s">
        <v>259</v>
      </c>
      <c r="D209" s="13" t="s">
        <v>259</v>
      </c>
      <c r="E209" s="13" t="s">
        <v>259</v>
      </c>
      <c r="F209" s="13" t="s">
        <v>259</v>
      </c>
      <c r="G209" s="151" t="s">
        <v>259</v>
      </c>
      <c r="H209" s="152" t="s">
        <v>259</v>
      </c>
      <c r="I209" s="244" t="s">
        <v>259</v>
      </c>
      <c r="J209" s="175" t="s">
        <v>259</v>
      </c>
      <c r="K209" s="41" t="s">
        <v>259</v>
      </c>
      <c r="L209" s="41" t="s">
        <v>259</v>
      </c>
      <c r="M209" s="41" t="s">
        <v>259</v>
      </c>
      <c r="N209" s="41" t="s">
        <v>259</v>
      </c>
      <c r="O209" s="41" t="s">
        <v>259</v>
      </c>
      <c r="P209" s="41" t="s">
        <v>259</v>
      </c>
      <c r="Q209" s="41" t="s">
        <v>259</v>
      </c>
      <c r="R209" s="41" t="s">
        <v>259</v>
      </c>
      <c r="S209" s="13" t="s">
        <v>259</v>
      </c>
      <c r="T209" s="2" t="str">
        <f>IF(Config!$B$2='Data Validations'!$E$2,Text!B209,IF(Config!$B$2='Data Validations'!$E$3,Text!C209,"Select a lanaguage in config"))</f>
        <v>_</v>
      </c>
      <c r="U209" s="13" t="s">
        <v>259</v>
      </c>
      <c r="V209" s="13" t="s">
        <v>259</v>
      </c>
      <c r="W209" s="13" t="s">
        <v>259</v>
      </c>
      <c r="X209" s="13" t="s">
        <v>259</v>
      </c>
      <c r="Y209" s="13" t="s">
        <v>259</v>
      </c>
      <c r="Z209" s="13" t="s">
        <v>259</v>
      </c>
      <c r="AA209" s="13" t="s">
        <v>259</v>
      </c>
      <c r="AB209" s="61" t="s">
        <v>499</v>
      </c>
      <c r="AC209" s="2" t="s">
        <v>543</v>
      </c>
      <c r="AD209" s="2"/>
    </row>
    <row r="210" spans="1:30" ht="15" customHeight="1" x14ac:dyDescent="0.45">
      <c r="A210" s="289" t="s">
        <v>91</v>
      </c>
      <c r="B210" s="1" t="s">
        <v>376</v>
      </c>
      <c r="C210" s="1" t="s">
        <v>239</v>
      </c>
      <c r="D210" s="6" t="str">
        <f>CONCATENATE(ROW(A187))</f>
        <v>187</v>
      </c>
      <c r="E210" s="6"/>
      <c r="F210" s="13" t="s">
        <v>54</v>
      </c>
      <c r="G210" s="156"/>
      <c r="H210" s="157"/>
      <c r="I210" s="245"/>
      <c r="J210" s="177"/>
      <c r="K210" s="41"/>
      <c r="L210" s="14" t="s">
        <v>54</v>
      </c>
      <c r="M210" s="14" t="s">
        <v>54</v>
      </c>
      <c r="N210" s="14" t="s">
        <v>54</v>
      </c>
      <c r="O210" s="14"/>
      <c r="P210" s="14"/>
      <c r="Q210" s="2"/>
      <c r="R210" s="2"/>
      <c r="S210" s="2" t="s">
        <v>233</v>
      </c>
      <c r="T210" s="2" t="str">
        <f>IF(Config!$B$2='Data Validations'!$E$2,Text!B210,IF(Config!$B$2='Data Validations'!$E$3,Text!C210,"Select a lanaguage in config"))</f>
        <v>The Microsoft Purview data map provides the foundation for data discovery and data governance. It captures metadata about data present in analytics, software-as-a-service (SaaS), and operation systems in hybrid, on-premises, and multi-cloud environments. The Microsoft Purview Data Map stays up to date with its built-in scanning and classification system. All Microsoft Purview accounts have a data map that elastically grow starting at one capacity unit (1 CU = 10GB of meta data and up to 25 operations/sec). They scale up and down based on request load and metadata stored within the data map. Microsoft Purview Data Map can also track data lineage (Data lineage is broadly understood as the lifecycle that spans the data’s origin, and where it moves over time across the data estate) and Data Classification (Data classification in the Microsoft Purview governance portal is a way of categorizing data assets by assigning unique logical tags or classes to the data assets. Classification is based on the business context of the data).</v>
      </c>
      <c r="U210" s="2" t="s">
        <v>1219</v>
      </c>
      <c r="V210" s="120" t="s">
        <v>1259</v>
      </c>
      <c r="W210" s="38" t="s">
        <v>515</v>
      </c>
      <c r="X210" s="39" t="s">
        <v>281</v>
      </c>
      <c r="Y210" s="26" t="s">
        <v>573</v>
      </c>
      <c r="Z210" s="26" t="s">
        <v>1270</v>
      </c>
      <c r="AA210" s="2" t="s">
        <v>238</v>
      </c>
      <c r="AB210" s="267"/>
      <c r="AC210" s="2"/>
      <c r="AD210" s="2"/>
    </row>
    <row r="211" spans="1:30" ht="15" customHeight="1" x14ac:dyDescent="0.45">
      <c r="A211" s="289" t="s">
        <v>591</v>
      </c>
      <c r="B211" s="1" t="s">
        <v>376</v>
      </c>
      <c r="C211" s="1" t="s">
        <v>239</v>
      </c>
      <c r="D211" s="6" t="str">
        <f>CONCATENATE(ROW(A187))</f>
        <v>187</v>
      </c>
      <c r="E211" s="6"/>
      <c r="F211" s="13" t="s">
        <v>54</v>
      </c>
      <c r="G211" s="156"/>
      <c r="H211" s="157"/>
      <c r="I211" s="245"/>
      <c r="J211" s="177"/>
      <c r="K211" s="41"/>
      <c r="L211" s="14" t="s">
        <v>54</v>
      </c>
      <c r="M211" s="14" t="s">
        <v>54</v>
      </c>
      <c r="N211" s="14" t="s">
        <v>54</v>
      </c>
      <c r="O211" s="14"/>
      <c r="P211" s="14"/>
      <c r="Q211" s="2"/>
      <c r="R211" s="2"/>
      <c r="S211" s="2" t="s">
        <v>233</v>
      </c>
      <c r="T211" s="2" t="str">
        <f>IF(Config!$B$2='Data Validations'!$E$2,Text!B211,IF(Config!$B$2='Data Validations'!$E$3,Text!C211,"Select a lanaguage in config"))</f>
        <v>After data is scanned and ingested into the Azure Purview Data Map, data consumers need to easily find the data needed for their analytics or governance workloads. Data discovery can be time-consuming because a user might not know where to find the wanted data. Even after finding the data, there might be doubts about whether to trust and take a dependency on it. Through search and browse, the Azure Purview Data Catalogue allows for quickly finding data that matters. The Purview relevance engine sorts through all the matches and ranks them based on what it believes their usefulness is to a user. For example, a table that matches on multiple keywords that a data steward has assigned glossary terms to and given a description is likely going to be more interesting to a data consumer than a folder that has been unannotated. A large set of factors go into an asset’s relevance score, and the Purview search team is constantly tuning the relevance engine to ensure the top search results have the most value to the user.</v>
      </c>
      <c r="U211" s="2" t="s">
        <v>1219</v>
      </c>
      <c r="V211" s="120" t="s">
        <v>1259</v>
      </c>
      <c r="W211" s="38" t="s">
        <v>515</v>
      </c>
      <c r="X211" s="39" t="s">
        <v>281</v>
      </c>
      <c r="Y211" s="26" t="s">
        <v>573</v>
      </c>
      <c r="Z211" s="26" t="s">
        <v>1270</v>
      </c>
      <c r="AA211" s="2" t="s">
        <v>238</v>
      </c>
      <c r="AB211" s="267"/>
      <c r="AC211" s="2"/>
      <c r="AD211" s="2"/>
    </row>
    <row r="212" spans="1:30" ht="15" customHeight="1" x14ac:dyDescent="0.45">
      <c r="A212" s="289" t="s">
        <v>92</v>
      </c>
      <c r="B212" s="1" t="s">
        <v>376</v>
      </c>
      <c r="C212" s="1" t="s">
        <v>239</v>
      </c>
      <c r="D212" s="6" t="str">
        <f>CONCATENATE(ROW(A187))</f>
        <v>187</v>
      </c>
      <c r="E212" s="6"/>
      <c r="F212" s="13" t="s">
        <v>54</v>
      </c>
      <c r="G212" s="156"/>
      <c r="H212" s="157"/>
      <c r="I212" s="245"/>
      <c r="J212" s="177"/>
      <c r="K212" s="41"/>
      <c r="L212" s="14" t="s">
        <v>54</v>
      </c>
      <c r="M212" s="14" t="s">
        <v>54</v>
      </c>
      <c r="N212" s="14" t="s">
        <v>54</v>
      </c>
      <c r="O212" s="14"/>
      <c r="P212" s="14"/>
      <c r="Q212" s="2"/>
      <c r="R212" s="2"/>
      <c r="S212" s="2" t="s">
        <v>233</v>
      </c>
      <c r="T212" s="2" t="str">
        <f>IF(Config!$B$2='Data Validations'!$E$2,Text!B212,IF(Config!$B$2='Data Validations'!$E$3,Text!C212,"Select a lanaguage in config"))</f>
        <v>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organizations to discover, monitor and protect assets across their entire data estate.</v>
      </c>
      <c r="U212" s="2" t="s">
        <v>1219</v>
      </c>
      <c r="V212" s="120" t="s">
        <v>1259</v>
      </c>
      <c r="W212" s="38" t="s">
        <v>515</v>
      </c>
      <c r="X212" s="39" t="s">
        <v>281</v>
      </c>
      <c r="Y212" s="26" t="s">
        <v>573</v>
      </c>
      <c r="Z212" s="26" t="s">
        <v>1270</v>
      </c>
      <c r="AA212" s="2" t="s">
        <v>238</v>
      </c>
      <c r="AB212" s="267"/>
      <c r="AC212" s="2"/>
      <c r="AD212" s="2"/>
    </row>
    <row r="213" spans="1:30" ht="15" customHeight="1" x14ac:dyDescent="0.45">
      <c r="A213" s="289" t="s">
        <v>592</v>
      </c>
      <c r="B213" s="1" t="s">
        <v>593</v>
      </c>
      <c r="C213" s="1" t="s">
        <v>239</v>
      </c>
      <c r="D213" s="5" t="str">
        <f>CONCATENATE(ROW(A8),",",ROW(A9),",",ROW(A10))</f>
        <v>8,9,10</v>
      </c>
      <c r="E213" s="6" t="s">
        <v>247</v>
      </c>
      <c r="F213" s="13" t="s">
        <v>54</v>
      </c>
      <c r="G213" s="156"/>
      <c r="H213" s="154"/>
      <c r="I213" s="245"/>
      <c r="J213" s="176"/>
      <c r="K213" s="41"/>
      <c r="L213" s="14" t="s">
        <v>54</v>
      </c>
      <c r="M213" s="14" t="s">
        <v>54</v>
      </c>
      <c r="N213" s="14" t="s">
        <v>54</v>
      </c>
      <c r="O213" s="14"/>
      <c r="P213" s="14"/>
      <c r="Q213" s="2"/>
      <c r="R213" s="2"/>
      <c r="S213" s="2" t="s">
        <v>261</v>
      </c>
      <c r="T213" s="2" t="str">
        <f>IF(Config!$B$2='Data Validations'!$E$2,Text!B213,IF(Config!$B$2='Data Validations'!$E$3,Text!C213,"Select a lanaguage in config"))</f>
        <v>For most organizations,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organization to share knowledge effectively and be more agile by ensuring that your users work only with content that's current and relevant to them. Retention settings that an organization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v>
      </c>
      <c r="U213" s="2" t="s">
        <v>1219</v>
      </c>
      <c r="V213" s="120" t="s">
        <v>1259</v>
      </c>
      <c r="W213" s="10" t="s">
        <v>550</v>
      </c>
      <c r="X213" s="25" t="s">
        <v>1227</v>
      </c>
      <c r="Y213" s="26" t="s">
        <v>573</v>
      </c>
      <c r="Z213" s="26" t="s">
        <v>1270</v>
      </c>
      <c r="AA213" s="2" t="s">
        <v>238</v>
      </c>
      <c r="AB213" s="264"/>
      <c r="AC213" s="2"/>
      <c r="AD213" s="1"/>
    </row>
    <row r="214" spans="1:30" ht="15" customHeight="1" x14ac:dyDescent="0.45">
      <c r="A214" s="289" t="s">
        <v>134</v>
      </c>
      <c r="B214" s="1" t="s">
        <v>1499</v>
      </c>
      <c r="C214" s="1" t="s">
        <v>239</v>
      </c>
      <c r="D214" s="6" t="str">
        <f>CONCATENATE(ROW(A8),",",ROW(A9),",",ROW(A10))</f>
        <v>8,9,10</v>
      </c>
      <c r="E214" s="6"/>
      <c r="F214" s="13" t="s">
        <v>54</v>
      </c>
      <c r="G214" s="156"/>
      <c r="H214" s="155"/>
      <c r="I214" s="245"/>
      <c r="J214" s="177"/>
      <c r="K214" s="41"/>
      <c r="L214" s="14" t="s">
        <v>54</v>
      </c>
      <c r="M214" s="14" t="s">
        <v>54</v>
      </c>
      <c r="N214" s="14" t="s">
        <v>54</v>
      </c>
      <c r="O214" s="14"/>
      <c r="P214" s="14"/>
      <c r="Q214" s="2"/>
      <c r="R214" s="2"/>
      <c r="S214" s="2" t="s">
        <v>261</v>
      </c>
      <c r="T214" s="2" t="str">
        <f>IF(Config!$B$2='Data Validations'!$E$2,Text!B214,IF(Config!$B$2='Data Validations'!$E$3,Text!C214,"Select a lanaguage in config"))</f>
        <v>A records management system is a solution to manage regulatory, legal, and business-critical records. Records management for Microsoft Purview helps organization's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v>
      </c>
      <c r="U214" s="2" t="s">
        <v>546</v>
      </c>
      <c r="V214" s="120" t="s">
        <v>1259</v>
      </c>
      <c r="W214" s="10" t="s">
        <v>594</v>
      </c>
      <c r="X214" s="25" t="s">
        <v>1227</v>
      </c>
      <c r="Y214" s="26" t="s">
        <v>573</v>
      </c>
      <c r="Z214" s="26" t="s">
        <v>1270</v>
      </c>
      <c r="AA214" s="2" t="s">
        <v>238</v>
      </c>
      <c r="AB214" s="264"/>
      <c r="AC214" s="2" t="s">
        <v>543</v>
      </c>
      <c r="AD214" s="1" t="s">
        <v>595</v>
      </c>
    </row>
    <row r="215" spans="1:30" ht="15" customHeight="1" x14ac:dyDescent="0.45">
      <c r="A215" s="304" t="s">
        <v>596</v>
      </c>
      <c r="B215" s="13" t="s">
        <v>259</v>
      </c>
      <c r="C215" s="13" t="s">
        <v>259</v>
      </c>
      <c r="D215" s="13" t="s">
        <v>259</v>
      </c>
      <c r="E215" s="13" t="s">
        <v>259</v>
      </c>
      <c r="F215" s="13" t="s">
        <v>259</v>
      </c>
      <c r="G215" s="151" t="s">
        <v>259</v>
      </c>
      <c r="H215" s="152" t="s">
        <v>259</v>
      </c>
      <c r="I215" s="244" t="s">
        <v>259</v>
      </c>
      <c r="J215" s="175" t="s">
        <v>259</v>
      </c>
      <c r="K215" s="259" t="s">
        <v>259</v>
      </c>
      <c r="L215" s="152" t="s">
        <v>259</v>
      </c>
      <c r="M215" s="152" t="s">
        <v>259</v>
      </c>
      <c r="N215" s="152" t="s">
        <v>259</v>
      </c>
      <c r="O215" s="2" t="s">
        <v>259</v>
      </c>
      <c r="P215" s="2" t="s">
        <v>259</v>
      </c>
      <c r="Q215" s="2" t="s">
        <v>259</v>
      </c>
      <c r="R215" s="2" t="s">
        <v>259</v>
      </c>
      <c r="S215" s="2" t="s">
        <v>259</v>
      </c>
      <c r="T215" s="2" t="str">
        <f>IF(Config!$B$2='Data Validations'!$E$2,Text!B216,IF(Config!$B$2='Data Validations'!$E$3,Text!C216,"Select a lanaguage in config"))</f>
        <v>_</v>
      </c>
      <c r="U215" s="2" t="s">
        <v>259</v>
      </c>
      <c r="V215" s="2" t="s">
        <v>259</v>
      </c>
      <c r="W215" s="2" t="s">
        <v>259</v>
      </c>
      <c r="X215" s="2" t="s">
        <v>259</v>
      </c>
      <c r="Y215" s="2" t="s">
        <v>259</v>
      </c>
      <c r="Z215" s="2" t="s">
        <v>259</v>
      </c>
      <c r="AA215" s="2" t="s">
        <v>259</v>
      </c>
      <c r="AB215" s="264"/>
      <c r="AC215" s="2" t="s">
        <v>543</v>
      </c>
      <c r="AD215" s="1"/>
    </row>
    <row r="216" spans="1:30" ht="15" customHeight="1" x14ac:dyDescent="0.45">
      <c r="A216" s="289" t="s">
        <v>177</v>
      </c>
      <c r="B216" s="1" t="s">
        <v>1456</v>
      </c>
      <c r="C216" s="1" t="s">
        <v>239</v>
      </c>
      <c r="D216" s="6" t="str">
        <f>CONCATENATE(ROW(A8),",",ROW(A9),",",ROW(A10))</f>
        <v>8,9,10</v>
      </c>
      <c r="E216" s="6" t="s">
        <v>247</v>
      </c>
      <c r="F216" s="13" t="s">
        <v>54</v>
      </c>
      <c r="G216" s="156"/>
      <c r="H216" s="154"/>
      <c r="I216" s="246"/>
      <c r="J216" s="177"/>
      <c r="K216" s="41"/>
      <c r="L216" s="14" t="s">
        <v>54</v>
      </c>
      <c r="M216" s="14" t="s">
        <v>54</v>
      </c>
      <c r="N216" s="14" t="s">
        <v>54</v>
      </c>
      <c r="O216" s="14"/>
      <c r="P216" s="14"/>
      <c r="Q216" s="2"/>
      <c r="R216" s="2"/>
      <c r="S216" s="2" t="s">
        <v>233</v>
      </c>
      <c r="T216" s="2" t="str">
        <f>IF(Config!$B$2='Data Validations'!$E$2,Text!B217,IF(Config!$B$2='Data Validations'!$E$3,Text!C217,"Select a lanaguage in config"))</f>
        <v>Microsoft Purview eDiscovery (Standard) in Microsoft Purview provides a basic eDiscovery tool that organizations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v>
      </c>
      <c r="U216" s="2" t="s">
        <v>546</v>
      </c>
      <c r="V216" s="120" t="s">
        <v>1259</v>
      </c>
      <c r="W216" s="10" t="s">
        <v>515</v>
      </c>
      <c r="X216" s="25" t="s">
        <v>1248</v>
      </c>
      <c r="Y216" s="26" t="s">
        <v>597</v>
      </c>
      <c r="Z216" s="26" t="s">
        <v>1270</v>
      </c>
      <c r="AA216" s="2" t="s">
        <v>238</v>
      </c>
      <c r="AB216" s="264"/>
      <c r="AC216" s="2" t="s">
        <v>543</v>
      </c>
      <c r="AD216" s="1" t="s">
        <v>595</v>
      </c>
    </row>
    <row r="217" spans="1:30" ht="15" customHeight="1" x14ac:dyDescent="0.45">
      <c r="A217" s="289" t="s">
        <v>124</v>
      </c>
      <c r="B217" s="1" t="s">
        <v>1499</v>
      </c>
      <c r="C217" s="1" t="s">
        <v>239</v>
      </c>
      <c r="D217" s="6" t="str">
        <f>CONCATENATE(ROW(A8),",",ROW(A9),",",ROW(A10),",",ROW(A213),",",ROW(A214))</f>
        <v>8,9,10,213,214</v>
      </c>
      <c r="E217" s="6"/>
      <c r="F217" s="13" t="s">
        <v>54</v>
      </c>
      <c r="G217" s="153"/>
      <c r="H217" s="154"/>
      <c r="I217" s="245"/>
      <c r="J217" s="178"/>
      <c r="K217" s="41"/>
      <c r="L217" s="14" t="s">
        <v>54</v>
      </c>
      <c r="M217" s="14" t="s">
        <v>54</v>
      </c>
      <c r="N217" s="14" t="s">
        <v>54</v>
      </c>
      <c r="O217" s="14"/>
      <c r="P217" s="14"/>
      <c r="Q217" s="2"/>
      <c r="R217" s="2"/>
      <c r="S217" s="2" t="s">
        <v>233</v>
      </c>
      <c r="T217" s="2" t="str">
        <f>IF(Config!$B$2='Data Validations'!$E$2,Text!B218,IF(Config!$B$2='Data Validations'!$E$3,Text!C218,"Select a lanaguage in config"))</f>
        <v>The Microsoft Purview eDiscovery (Premium) solution builds on the existing Microsoft eDiscovery and analytics capabilities. eDiscovery (Premium) provides an end-to-end workflow to preserve, collect, analyze, review, and export content that's responsive to an organization's internal and external investigations. It also lets legal teams manage the entire legal hold notification workflow to communicate with custodians involved in a case. With the advanced tooling within eDiscovery (premium), organizations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v>
      </c>
      <c r="U217" s="2" t="s">
        <v>546</v>
      </c>
      <c r="V217" s="120" t="s">
        <v>1259</v>
      </c>
      <c r="W217" s="10" t="s">
        <v>515</v>
      </c>
      <c r="X217" s="25" t="s">
        <v>1248</v>
      </c>
      <c r="Y217" s="26" t="s">
        <v>597</v>
      </c>
      <c r="Z217" s="26" t="s">
        <v>1270</v>
      </c>
      <c r="AA217" s="2" t="s">
        <v>238</v>
      </c>
      <c r="AB217" s="264"/>
      <c r="AC217" s="2" t="s">
        <v>543</v>
      </c>
      <c r="AD217" s="2"/>
    </row>
    <row r="218" spans="1:30" ht="15" customHeight="1" x14ac:dyDescent="0.45">
      <c r="A218" s="289" t="s">
        <v>598</v>
      </c>
      <c r="B218" s="1" t="s">
        <v>1496</v>
      </c>
      <c r="C218" s="1" t="s">
        <v>246</v>
      </c>
      <c r="D218" s="5" t="str">
        <f>CONCATENATE(ROW(A4),",",ROW(A27))</f>
        <v>4,27</v>
      </c>
      <c r="E218" s="5" t="s">
        <v>307</v>
      </c>
      <c r="F218" s="13" t="s">
        <v>54</v>
      </c>
      <c r="G218" s="158"/>
      <c r="H218" s="155"/>
      <c r="I218" s="245"/>
      <c r="J218" s="176"/>
      <c r="K218" s="41"/>
      <c r="L218" s="14" t="s">
        <v>54</v>
      </c>
      <c r="M218" s="14" t="s">
        <v>54</v>
      </c>
      <c r="N218" s="14" t="s">
        <v>54</v>
      </c>
      <c r="O218" s="14"/>
      <c r="P218" s="14"/>
      <c r="Q218" s="2"/>
      <c r="R218" s="2"/>
      <c r="S218" s="2" t="s">
        <v>305</v>
      </c>
      <c r="T218" s="2" t="str">
        <f>IF(Config!$B$2='Data Validations'!$E$2,Text!B219,IF(Config!$B$2='Data Validations'!$E$3,Text!C219,"Select a lanaguage in config"))</f>
        <v>Microsoft Entra Risky Sign-Ins is a feature of Identity Protection, it provides organizations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organizations can take advantage of the Microsoft Graph API integrations to aggregate data with other sources they may have access to as an organization.</v>
      </c>
      <c r="U218" s="2" t="s">
        <v>382</v>
      </c>
      <c r="V218" s="120" t="s">
        <v>279</v>
      </c>
      <c r="W218" s="10" t="s">
        <v>599</v>
      </c>
      <c r="X218" s="25" t="s">
        <v>281</v>
      </c>
      <c r="Y218" s="26" t="s">
        <v>596</v>
      </c>
      <c r="Z218" s="26" t="s">
        <v>42</v>
      </c>
      <c r="AA218" s="2" t="s">
        <v>238</v>
      </c>
      <c r="AB218" s="61" t="s">
        <v>1503</v>
      </c>
      <c r="AC218" s="2" t="s">
        <v>244</v>
      </c>
      <c r="AD218" s="1"/>
    </row>
    <row r="219" spans="1:30" ht="15" customHeight="1" x14ac:dyDescent="0.45">
      <c r="A219" s="289" t="s">
        <v>600</v>
      </c>
      <c r="B219" s="1" t="s">
        <v>231</v>
      </c>
      <c r="C219" s="1" t="s">
        <v>232</v>
      </c>
      <c r="D219" s="5" t="str">
        <f>CONCATENATE(ROW(A4),",",ROW(A8),",",ROW(A9))</f>
        <v>4,8,9</v>
      </c>
      <c r="E219" s="5" t="s">
        <v>247</v>
      </c>
      <c r="F219" s="13" t="s">
        <v>54</v>
      </c>
      <c r="G219" s="158"/>
      <c r="H219" s="155"/>
      <c r="I219" s="245"/>
      <c r="J219" s="177"/>
      <c r="K219" s="41"/>
      <c r="L219" s="14" t="s">
        <v>54</v>
      </c>
      <c r="M219" s="14" t="s">
        <v>54</v>
      </c>
      <c r="N219" s="14" t="s">
        <v>54</v>
      </c>
      <c r="O219" s="14"/>
      <c r="P219" s="14"/>
      <c r="Q219" s="2"/>
      <c r="R219" s="2"/>
      <c r="S219" s="2" t="s">
        <v>233</v>
      </c>
      <c r="T219" s="2" t="str">
        <f>IF(Config!$B$2='Data Validations'!$E$2,Text!B220,IF(Config!$B$2='Data Validations'!$E$3,Text!C220,"Select a lanaguage in config"))</f>
        <v>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organization. Thousands of user and admin operations performed in dozens of Microsoft 365 services and solutions are captured, recorded, and retained in an organization's unified audit log. Users in the organization can use the audit log search tool to search for, view, and export (to a CSV file) the audit records for these operations. Activity from an organization recorded in Microsoft Purview Audit (Standard) is retained for 90 days and can be used for forensic investigation.</v>
      </c>
      <c r="U219" s="2" t="s">
        <v>382</v>
      </c>
      <c r="V219" s="120" t="s">
        <v>1259</v>
      </c>
      <c r="W219" s="10" t="s">
        <v>515</v>
      </c>
      <c r="X219" s="25" t="s">
        <v>281</v>
      </c>
      <c r="Y219" s="26" t="s">
        <v>596</v>
      </c>
      <c r="Z219" s="26" t="s">
        <v>1270</v>
      </c>
      <c r="AA219" s="2" t="s">
        <v>238</v>
      </c>
      <c r="AB219" s="61" t="s">
        <v>1503</v>
      </c>
      <c r="AC219" s="2" t="s">
        <v>244</v>
      </c>
      <c r="AD219" s="1" t="s">
        <v>323</v>
      </c>
    </row>
    <row r="220" spans="1:30" x14ac:dyDescent="0.45">
      <c r="A220" s="289" t="s">
        <v>105</v>
      </c>
      <c r="B220" s="1" t="s">
        <v>1499</v>
      </c>
      <c r="C220" s="1" t="s">
        <v>239</v>
      </c>
      <c r="D220" s="6" t="str">
        <f>CONCATENATE(ROW(A219))</f>
        <v>219</v>
      </c>
      <c r="E220" s="6" t="s">
        <v>307</v>
      </c>
      <c r="F220" s="13" t="s">
        <v>54</v>
      </c>
      <c r="G220" s="156"/>
      <c r="H220" s="155"/>
      <c r="I220" s="245"/>
      <c r="J220" s="177"/>
      <c r="K220" s="41"/>
      <c r="L220" s="14" t="s">
        <v>54</v>
      </c>
      <c r="M220" s="14" t="s">
        <v>54</v>
      </c>
      <c r="N220" s="14" t="s">
        <v>54</v>
      </c>
      <c r="O220" s="14"/>
      <c r="P220" s="14"/>
      <c r="Q220" s="2"/>
      <c r="R220" s="2"/>
      <c r="S220" s="4" t="s">
        <v>233</v>
      </c>
      <c r="T220" s="2" t="str">
        <f>IF(Config!$B$2='Data Validations'!$E$2,Text!B221,IF(Config!$B$2='Data Validations'!$E$3,Text!C221,"Select a lanaguage in config"))</f>
        <v>The Audit functionality in Microsoft Purview provides organizations with visibility into many types of audited activities across many different services in Microsoft 365. Microsoft Purview Audit (Premium) helps organizations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v>
      </c>
      <c r="U220" s="2" t="s">
        <v>569</v>
      </c>
      <c r="V220" s="120" t="s">
        <v>1259</v>
      </c>
      <c r="W220" s="10" t="s">
        <v>515</v>
      </c>
      <c r="X220" s="29" t="s">
        <v>281</v>
      </c>
      <c r="Y220" s="26" t="s">
        <v>596</v>
      </c>
      <c r="Z220" s="26" t="s">
        <v>1270</v>
      </c>
      <c r="AA220" s="2" t="s">
        <v>238</v>
      </c>
      <c r="AB220" s="40" t="s">
        <v>1504</v>
      </c>
      <c r="AC220" s="2" t="s">
        <v>244</v>
      </c>
    </row>
    <row r="221" spans="1:30" x14ac:dyDescent="0.45">
      <c r="A221" s="289" t="s">
        <v>156</v>
      </c>
      <c r="B221" s="1" t="s">
        <v>376</v>
      </c>
      <c r="C221" s="1" t="s">
        <v>239</v>
      </c>
      <c r="D221" s="6"/>
      <c r="E221" s="6"/>
      <c r="F221" s="13" t="s">
        <v>54</v>
      </c>
      <c r="G221" s="156"/>
      <c r="H221" s="155"/>
      <c r="I221" s="245"/>
      <c r="J221" s="177"/>
      <c r="K221" s="41"/>
      <c r="L221" s="14" t="s">
        <v>54</v>
      </c>
      <c r="M221" s="14" t="s">
        <v>54</v>
      </c>
      <c r="N221" s="14" t="s">
        <v>54</v>
      </c>
      <c r="O221" s="14"/>
      <c r="P221" s="14"/>
      <c r="Q221" s="2"/>
      <c r="R221" s="2"/>
      <c r="S221" s="4" t="s">
        <v>233</v>
      </c>
      <c r="T221" s="2" t="str">
        <f>IF(Config!$B$2='Data Validations'!$E$2,Text!B222,IF(Config!$B$2='Data Validations'!$E$3,Text!C222,"Select a lanaguage in config"))</f>
        <v>Azure Monitor helps maximize the availability and performance of applications and services in an organization. It delivers a comprehensive solution for collecting, analysing, and acting on telemetry from cloud and on-premises environments. This information helps organizations understand how applications are performing and proactively identify issues that affect them and the resources they depend on.</v>
      </c>
      <c r="U221" s="4" t="s">
        <v>601</v>
      </c>
      <c r="V221" s="122" t="s">
        <v>417</v>
      </c>
      <c r="W221" s="21" t="s">
        <v>602</v>
      </c>
      <c r="X221" s="26" t="s">
        <v>466</v>
      </c>
      <c r="Y221" s="26" t="s">
        <v>596</v>
      </c>
      <c r="Z221" s="26" t="s">
        <v>1270</v>
      </c>
      <c r="AA221" s="2" t="s">
        <v>238</v>
      </c>
      <c r="AB221" s="40"/>
      <c r="AC221" s="2"/>
    </row>
    <row r="222" spans="1:30" x14ac:dyDescent="0.45">
      <c r="A222" s="289" t="s">
        <v>1530</v>
      </c>
      <c r="B222" s="13" t="s">
        <v>1517</v>
      </c>
      <c r="C222" s="147" t="s">
        <v>1537</v>
      </c>
      <c r="D222" s="148" t="str">
        <f>CONCATENATE(ROW(A199),",",ROW(A188)," OR ",ROW(A189))</f>
        <v>199,188 OR 189</v>
      </c>
      <c r="E222" s="148"/>
      <c r="F222" s="13" t="s">
        <v>54</v>
      </c>
      <c r="G222" s="372"/>
      <c r="H222" s="370"/>
      <c r="I222" s="245"/>
      <c r="J222" s="177"/>
      <c r="K222" s="41"/>
      <c r="L222" s="14" t="s">
        <v>54</v>
      </c>
      <c r="M222" s="14" t="s">
        <v>54</v>
      </c>
      <c r="N222" s="14" t="s">
        <v>54</v>
      </c>
      <c r="O222" s="14"/>
      <c r="P222" s="14"/>
      <c r="Q222" s="2"/>
      <c r="R222" s="2"/>
      <c r="S222" s="2" t="s">
        <v>305</v>
      </c>
      <c r="T222" s="2" t="str">
        <f>IF(Config!$B$2='Data Validations'!$E$2,Text!B223,IF(Config!$B$2='Data Validations'!$E$3,Text!C223,"Select a lanaguage in config"))</f>
        <v>Provides unified visibility into Copilot and AI agent usage across the organization, enabling monitoring of adoption, identification of risk patterns, and detection of anomalous or potentially unsafe behaviors. Supports governance, compliance reporting, and continuous improvement of AI deployment strategies.</v>
      </c>
      <c r="U222" s="4" t="s">
        <v>546</v>
      </c>
      <c r="V222" s="120" t="s">
        <v>1259</v>
      </c>
      <c r="W222" s="10" t="s">
        <v>515</v>
      </c>
      <c r="X222" s="262" t="s">
        <v>1482</v>
      </c>
      <c r="Y222" s="26" t="s">
        <v>596</v>
      </c>
      <c r="Z222" s="262" t="s">
        <v>1270</v>
      </c>
      <c r="AA222" s="13" t="s">
        <v>1533</v>
      </c>
      <c r="AB222" s="40"/>
      <c r="AC222" s="2"/>
    </row>
    <row r="223" spans="1:30" x14ac:dyDescent="0.45">
      <c r="A223" s="305" t="s">
        <v>1457</v>
      </c>
      <c r="B223" s="13" t="s">
        <v>259</v>
      </c>
      <c r="C223" s="13" t="s">
        <v>259</v>
      </c>
      <c r="D223" s="148"/>
      <c r="E223" s="148"/>
      <c r="F223" s="13"/>
      <c r="G223" s="151" t="s">
        <v>259</v>
      </c>
      <c r="H223" s="152" t="s">
        <v>259</v>
      </c>
      <c r="I223" s="244" t="s">
        <v>259</v>
      </c>
      <c r="J223" s="175" t="s">
        <v>259</v>
      </c>
      <c r="K223" s="259" t="s">
        <v>259</v>
      </c>
      <c r="L223" s="152" t="s">
        <v>259</v>
      </c>
      <c r="M223" s="152" t="s">
        <v>259</v>
      </c>
      <c r="N223" s="152" t="s">
        <v>259</v>
      </c>
      <c r="O223" s="2" t="s">
        <v>259</v>
      </c>
      <c r="P223" s="2" t="s">
        <v>259</v>
      </c>
      <c r="Q223" s="2" t="s">
        <v>259</v>
      </c>
      <c r="R223" s="2" t="s">
        <v>259</v>
      </c>
      <c r="S223" s="2" t="s">
        <v>259</v>
      </c>
      <c r="T223" s="2" t="str">
        <f>IF(Config!$B$2='Data Validations'!$E$2,Text!#REF!,IF(Config!$B$2='Data Validations'!$E$3,Text!C233,"Select a lanaguage in config"))</f>
        <v>_</v>
      </c>
      <c r="U223" s="2" t="s">
        <v>259</v>
      </c>
      <c r="V223" s="2" t="s">
        <v>259</v>
      </c>
      <c r="W223" s="2" t="s">
        <v>259</v>
      </c>
      <c r="X223" s="2" t="s">
        <v>259</v>
      </c>
      <c r="Y223" s="2" t="s">
        <v>259</v>
      </c>
      <c r="Z223" s="2" t="s">
        <v>259</v>
      </c>
      <c r="AA223" s="2" t="s">
        <v>259</v>
      </c>
      <c r="AB223" s="40"/>
      <c r="AC223" s="2"/>
    </row>
    <row r="224" spans="1:30" x14ac:dyDescent="0.45">
      <c r="A224" s="289" t="s">
        <v>1458</v>
      </c>
      <c r="B224" s="1" t="s">
        <v>1464</v>
      </c>
      <c r="C224" s="147" t="s">
        <v>239</v>
      </c>
      <c r="D224" s="148" t="str">
        <f>CONCATENATE(ROW(A199),",",ROW(A188)," OR ",ROW(A189))</f>
        <v>199,188 OR 189</v>
      </c>
      <c r="E224" s="148"/>
      <c r="F224" s="13" t="s">
        <v>54</v>
      </c>
      <c r="G224" s="153"/>
      <c r="H224" s="153"/>
      <c r="I224" s="245"/>
      <c r="J224" s="177"/>
      <c r="K224" s="41"/>
      <c r="L224" s="14" t="s">
        <v>54</v>
      </c>
      <c r="M224" s="14" t="s">
        <v>54</v>
      </c>
      <c r="N224" s="14" t="s">
        <v>54</v>
      </c>
      <c r="O224" s="14"/>
      <c r="P224" s="14"/>
      <c r="Q224" s="2"/>
      <c r="R224" s="2"/>
      <c r="S224" s="2" t="s">
        <v>278</v>
      </c>
      <c r="T224" s="2" t="str">
        <f>IF(Config!$B$2='Data Validations'!$E$2,Text!B225,IF(Config!$B$2='Data Validations'!$E$3,Text!C225,"Select a lanaguage in config"))</f>
        <v>Provides visibility into how AI tools and Copilots interact with sensitive data, reducing oversharing and privacy risk while allowing AI adoption to proceed with clear, enforceable data guardrails.</v>
      </c>
      <c r="U224" s="4" t="s">
        <v>546</v>
      </c>
      <c r="V224" s="120" t="s">
        <v>1259</v>
      </c>
      <c r="W224" s="10" t="s">
        <v>1478</v>
      </c>
      <c r="X224" s="262" t="s">
        <v>1482</v>
      </c>
      <c r="Y224" s="262" t="s">
        <v>1483</v>
      </c>
      <c r="Z224" s="26" t="s">
        <v>1270</v>
      </c>
      <c r="AA224" s="13" t="s">
        <v>238</v>
      </c>
      <c r="AB224" s="40"/>
      <c r="AC224" s="2" t="s">
        <v>543</v>
      </c>
    </row>
    <row r="225" spans="1:30" x14ac:dyDescent="0.45">
      <c r="A225" s="289" t="s">
        <v>1459</v>
      </c>
      <c r="B225" s="147" t="s">
        <v>1465</v>
      </c>
      <c r="C225" s="147" t="s">
        <v>232</v>
      </c>
      <c r="D225" s="148" t="s">
        <v>323</v>
      </c>
      <c r="E225" s="148"/>
      <c r="F225" s="13" t="s">
        <v>54</v>
      </c>
      <c r="G225" s="153"/>
      <c r="H225" s="153"/>
      <c r="I225" s="245"/>
      <c r="J225" s="177"/>
      <c r="K225" s="41"/>
      <c r="L225" s="14" t="s">
        <v>54</v>
      </c>
      <c r="M225" s="14" t="s">
        <v>54</v>
      </c>
      <c r="N225" s="14" t="s">
        <v>54</v>
      </c>
      <c r="O225" s="14"/>
      <c r="P225" s="14"/>
      <c r="Q225" s="2"/>
      <c r="R225" s="2"/>
      <c r="S225" s="62" t="s">
        <v>305</v>
      </c>
      <c r="T225" s="2" t="str">
        <f>IF(Config!$B$2='Data Validations'!$E$2,Text!B226,IF(Config!$B$2='Data Validations'!$E$3,Text!C226,"Select a lanaguage in config"))</f>
        <v>Creates a unified governance layer for Copilot and AI agents, ensuring data access, compliance, and audit controls scale consistently as AI usage expands across the organization.</v>
      </c>
      <c r="U225" s="4" t="s">
        <v>382</v>
      </c>
      <c r="V225" s="120" t="s">
        <v>263</v>
      </c>
      <c r="W225" s="10" t="s">
        <v>1479</v>
      </c>
      <c r="X225" s="262" t="s">
        <v>1482</v>
      </c>
      <c r="Y225" s="262" t="s">
        <v>1483</v>
      </c>
      <c r="Z225" s="26" t="s">
        <v>1270</v>
      </c>
      <c r="AA225" s="13" t="s">
        <v>238</v>
      </c>
      <c r="AB225" s="40"/>
      <c r="AC225" s="2" t="s">
        <v>543</v>
      </c>
    </row>
    <row r="226" spans="1:30" x14ac:dyDescent="0.45">
      <c r="A226" s="289" t="s">
        <v>1460</v>
      </c>
      <c r="B226" s="1" t="s">
        <v>1450</v>
      </c>
      <c r="C226" s="147" t="s">
        <v>239</v>
      </c>
      <c r="D226" s="148" t="s">
        <v>323</v>
      </c>
      <c r="E226" s="148"/>
      <c r="F226" s="13" t="s">
        <v>54</v>
      </c>
      <c r="G226" s="153"/>
      <c r="H226" s="153"/>
      <c r="I226" s="245"/>
      <c r="J226" s="153"/>
      <c r="K226" s="41"/>
      <c r="L226" s="14" t="s">
        <v>54</v>
      </c>
      <c r="M226" s="14" t="s">
        <v>54</v>
      </c>
      <c r="N226" s="14" t="s">
        <v>54</v>
      </c>
      <c r="O226" s="14"/>
      <c r="P226" s="14"/>
      <c r="Q226" s="2"/>
      <c r="R226" s="2"/>
      <c r="S226" s="2" t="s">
        <v>278</v>
      </c>
      <c r="T226" s="2" t="str">
        <f>IF(Config!$B$2='Data Validations'!$E$2,Text!B227,IF(Config!$B$2='Data Validations'!$E$3,Text!C227,"Select a lanaguage in config"))</f>
        <v>Reveals and controls generative AI usage across sanctioned and unsanctioned tools, reducing blind spots and preventing data exposure through unmanaged or high‑risk AI services.</v>
      </c>
      <c r="U226" s="4" t="s">
        <v>382</v>
      </c>
      <c r="V226" s="120" t="s">
        <v>312</v>
      </c>
      <c r="W226" s="10" t="s">
        <v>280</v>
      </c>
      <c r="X226" s="25" t="s">
        <v>1248</v>
      </c>
      <c r="Y226" s="262" t="s">
        <v>1483</v>
      </c>
      <c r="Z226" s="26" t="s">
        <v>1270</v>
      </c>
      <c r="AA226" s="13" t="s">
        <v>238</v>
      </c>
      <c r="AB226" s="40"/>
      <c r="AC226" s="2" t="s">
        <v>543</v>
      </c>
    </row>
    <row r="227" spans="1:30" x14ac:dyDescent="0.45">
      <c r="A227" s="289" t="s">
        <v>1461</v>
      </c>
      <c r="B227" s="147" t="s">
        <v>1453</v>
      </c>
      <c r="C227" s="147" t="s">
        <v>239</v>
      </c>
      <c r="D227" s="148" t="s">
        <v>323</v>
      </c>
      <c r="E227" s="148"/>
      <c r="F227" s="13" t="s">
        <v>54</v>
      </c>
      <c r="G227" s="153"/>
      <c r="H227" s="155"/>
      <c r="I227" s="245"/>
      <c r="J227" s="153"/>
      <c r="K227" s="41"/>
      <c r="L227" s="14" t="s">
        <v>54</v>
      </c>
      <c r="M227" s="14" t="s">
        <v>54</v>
      </c>
      <c r="N227" s="14" t="s">
        <v>54</v>
      </c>
      <c r="O227" s="14"/>
      <c r="P227" s="14"/>
      <c r="Q227" s="2"/>
      <c r="R227" s="2"/>
      <c r="S227" s="2" t="s">
        <v>513</v>
      </c>
      <c r="T227" s="2" t="str">
        <f>IF(Config!$B$2='Data Validations'!$E$2,Text!B228,IF(Config!$B$2='Data Validations'!$E$3,Text!C228,"Select a lanaguage in config"))</f>
        <v>Improves security and compliance operations by accelerating investigation, triage, and reporting, enabling teams to respond faster and more effectively without increasing staffing or complexity.</v>
      </c>
      <c r="U227" s="4" t="s">
        <v>382</v>
      </c>
      <c r="V227" s="120" t="s">
        <v>1257</v>
      </c>
      <c r="W227" s="10" t="s">
        <v>1480</v>
      </c>
      <c r="X227" s="25" t="s">
        <v>1248</v>
      </c>
      <c r="Y227" s="262" t="s">
        <v>1483</v>
      </c>
      <c r="Z227" s="26" t="s">
        <v>1270</v>
      </c>
      <c r="AA227" s="13" t="s">
        <v>238</v>
      </c>
      <c r="AB227" s="40"/>
      <c r="AC227" s="2" t="s">
        <v>543</v>
      </c>
    </row>
    <row r="228" spans="1:30" x14ac:dyDescent="0.45">
      <c r="A228" s="289" t="s">
        <v>1462</v>
      </c>
      <c r="B228" s="1" t="s">
        <v>1466</v>
      </c>
      <c r="C228" s="147" t="s">
        <v>246</v>
      </c>
      <c r="D228" s="148" t="str">
        <f>CONCATENATE(ROW(A199),",",ROW(A219))</f>
        <v>199,219</v>
      </c>
      <c r="E228" s="148"/>
      <c r="F228" s="13" t="s">
        <v>54</v>
      </c>
      <c r="G228" s="156"/>
      <c r="H228" s="153"/>
      <c r="I228" s="153"/>
      <c r="J228" s="153"/>
      <c r="K228" s="41"/>
      <c r="L228" s="14" t="s">
        <v>54</v>
      </c>
      <c r="M228" s="14" t="s">
        <v>54</v>
      </c>
      <c r="N228" s="14" t="s">
        <v>54</v>
      </c>
      <c r="O228" s="14"/>
      <c r="P228" s="14"/>
      <c r="Q228" s="2"/>
      <c r="R228" s="2"/>
      <c r="S228" s="2" t="s">
        <v>305</v>
      </c>
      <c r="T228" s="2" t="str">
        <f>IF(Config!$B$2='Data Validations'!$E$2,Text!B229,IF(Config!$B$2='Data Validations'!$E$3,Text!C229,"Select a lanaguage in config"))</f>
        <v>Ensures custom AI agents are developed, deployed, and operated within approved data, security, and lifecycle boundaries, preventing unsafe automation and inconsistent agent behavior.</v>
      </c>
      <c r="U228" s="4" t="s">
        <v>382</v>
      </c>
      <c r="V228" s="120" t="s">
        <v>1476</v>
      </c>
      <c r="W228" s="10" t="s">
        <v>1479</v>
      </c>
      <c r="X228" s="262" t="s">
        <v>1482</v>
      </c>
      <c r="Y228" s="262" t="s">
        <v>1483</v>
      </c>
      <c r="Z228" s="26" t="s">
        <v>1270</v>
      </c>
      <c r="AA228" s="13" t="s">
        <v>238</v>
      </c>
      <c r="AB228" s="40"/>
      <c r="AC228" s="2" t="s">
        <v>543</v>
      </c>
    </row>
    <row r="229" spans="1:30" x14ac:dyDescent="0.45">
      <c r="A229" s="289" t="s">
        <v>1463</v>
      </c>
      <c r="B229" s="147" t="s">
        <v>1526</v>
      </c>
      <c r="C229" s="147" t="s">
        <v>239</v>
      </c>
      <c r="D229" s="148" t="str">
        <f>CONCATENATE(ROW(A4),",",ROW(A9),",",ROW(A46),",",ROW(A48),",",ROW(A50))</f>
        <v>4,9,46,48,50</v>
      </c>
      <c r="E229" s="148"/>
      <c r="F229" s="13" t="s">
        <v>54</v>
      </c>
      <c r="G229" s="156"/>
      <c r="H229" s="156"/>
      <c r="I229" s="153"/>
      <c r="J229" s="153"/>
      <c r="K229" s="41"/>
      <c r="L229" s="14" t="s">
        <v>54</v>
      </c>
      <c r="M229" s="14" t="s">
        <v>54</v>
      </c>
      <c r="N229" s="14" t="s">
        <v>54</v>
      </c>
      <c r="O229" s="14"/>
      <c r="P229" s="14"/>
      <c r="Q229" s="2"/>
      <c r="R229" s="2"/>
      <c r="S229" s="2" t="s">
        <v>305</v>
      </c>
      <c r="T229" s="2" t="str">
        <f>IF(Config!$B$2='Data Validations'!$E$2,Text!B230,IF(Config!$B$2='Data Validations'!$E$3,Text!C230,"Select a lanaguage in config"))</f>
        <v>Introduces centralized identity, ownership, and runtime governance for AI agents, enabling organizations to manage autonomous agents with the same visibility, accountability, and control as human users.</v>
      </c>
      <c r="U229" s="4" t="s">
        <v>42</v>
      </c>
      <c r="V229" s="120" t="s">
        <v>1477</v>
      </c>
      <c r="W229" s="21" t="s">
        <v>1481</v>
      </c>
      <c r="X229" s="262" t="s">
        <v>1482</v>
      </c>
      <c r="Y229" s="262" t="s">
        <v>1484</v>
      </c>
      <c r="Z229" s="2" t="s">
        <v>1521</v>
      </c>
      <c r="AA229" s="13" t="s">
        <v>238</v>
      </c>
      <c r="AB229" s="40"/>
      <c r="AC229" s="2" t="s">
        <v>244</v>
      </c>
    </row>
    <row r="230" spans="1:30" x14ac:dyDescent="0.45">
      <c r="A230" s="289" t="s">
        <v>1516</v>
      </c>
      <c r="B230" s="13" t="s">
        <v>1517</v>
      </c>
      <c r="C230" s="147" t="s">
        <v>1536</v>
      </c>
      <c r="D230" s="148" t="str">
        <f>CONCATENATE(ROW(A199),",",ROW(A188)," OR ",ROW(A189))</f>
        <v>199,188 OR 189</v>
      </c>
      <c r="E230" s="148"/>
      <c r="F230" s="13" t="s">
        <v>54</v>
      </c>
      <c r="G230" s="153"/>
      <c r="H230" s="153"/>
      <c r="I230" s="245"/>
      <c r="J230" s="177"/>
      <c r="K230" s="41"/>
      <c r="L230" s="14" t="s">
        <v>54</v>
      </c>
      <c r="M230" s="14" t="s">
        <v>54</v>
      </c>
      <c r="N230" s="14" t="s">
        <v>54</v>
      </c>
      <c r="O230" s="14"/>
      <c r="P230" s="14"/>
      <c r="Q230" s="2"/>
      <c r="R230" s="2"/>
      <c r="S230" s="2" t="s">
        <v>305</v>
      </c>
      <c r="T230" s="2" t="str">
        <f>IF(Config!$B$2='Data Validations'!$E$2,Text!B231,IF(Config!$B$2='Data Validations'!$E$3,Text!C231,"Select a lanaguage in config"))</f>
        <v>Aggregates data security, agent activity, and AI usage into a unified risk and control model across the enterprise. Builds on capabilities such as Purview DSPM for AI, Defender for Cloud Apps, and Copilot governance to deliver unified AI risk visibility and control.</v>
      </c>
      <c r="U230" s="62" t="s">
        <v>1519</v>
      </c>
      <c r="V230" s="120" t="s">
        <v>1477</v>
      </c>
      <c r="W230" s="21" t="s">
        <v>1481</v>
      </c>
      <c r="X230" s="262" t="s">
        <v>1482</v>
      </c>
      <c r="Y230" s="13" t="s">
        <v>1520</v>
      </c>
      <c r="Z230" s="2" t="s">
        <v>1521</v>
      </c>
      <c r="AA230" s="13" t="s">
        <v>238</v>
      </c>
      <c r="AB230" s="40"/>
      <c r="AC230" s="2"/>
    </row>
    <row r="231" spans="1:30" x14ac:dyDescent="0.45">
      <c r="A231" s="289" t="s">
        <v>1527</v>
      </c>
      <c r="B231" s="13" t="s">
        <v>1517</v>
      </c>
      <c r="C231" s="147" t="s">
        <v>1535</v>
      </c>
      <c r="D231" s="148" t="str">
        <f>CONCATENATE(ROW(A199),",",ROW(A188)," OR ",ROW(A189))</f>
        <v>199,188 OR 189</v>
      </c>
      <c r="E231" s="148"/>
      <c r="F231" s="13" t="s">
        <v>54</v>
      </c>
      <c r="G231" s="156"/>
      <c r="H231" s="371"/>
      <c r="I231" s="246"/>
      <c r="J231" s="178"/>
      <c r="K231" s="41"/>
      <c r="L231" s="14" t="s">
        <v>54</v>
      </c>
      <c r="M231" s="14" t="s">
        <v>54</v>
      </c>
      <c r="N231" s="14" t="s">
        <v>54</v>
      </c>
      <c r="O231" s="14"/>
      <c r="P231" s="14"/>
      <c r="Q231" s="2"/>
      <c r="R231" s="2"/>
      <c r="S231" s="2" t="s">
        <v>305</v>
      </c>
      <c r="T231" s="2" t="str">
        <f>IF(Config!$B$2='Data Validations'!$E$2,Text!B232,IF(Config!$B$2='Data Validations'!$E$3,Text!C232,"Select a lanaguage in config"))</f>
        <v>Extends data protection controls into real-time AI interactions, ensuring sensitive data is governed not only at rest or in transit, but dynamically during Copilot and agent-driven workflows. Prevents oversharing, unauthorized exposure, and misuse of sensitive information by enforcing policy-driven controls at the point of AI interaction.</v>
      </c>
      <c r="U231" s="4" t="s">
        <v>546</v>
      </c>
      <c r="V231" s="120" t="s">
        <v>1259</v>
      </c>
      <c r="W231" s="10" t="s">
        <v>1478</v>
      </c>
      <c r="X231" s="262" t="s">
        <v>1482</v>
      </c>
      <c r="Y231" s="13" t="s">
        <v>1520</v>
      </c>
      <c r="Z231" s="26" t="s">
        <v>1270</v>
      </c>
      <c r="AA231" s="13" t="s">
        <v>238</v>
      </c>
      <c r="AB231" s="40"/>
      <c r="AC231" s="2"/>
    </row>
    <row r="232" spans="1:30" ht="15" customHeight="1" x14ac:dyDescent="0.45">
      <c r="A232" s="305" t="s">
        <v>603</v>
      </c>
      <c r="B232" s="13" t="s">
        <v>259</v>
      </c>
      <c r="C232" s="13" t="s">
        <v>259</v>
      </c>
      <c r="D232" s="13" t="s">
        <v>259</v>
      </c>
      <c r="E232" s="13" t="s">
        <v>259</v>
      </c>
      <c r="F232" s="13" t="s">
        <v>259</v>
      </c>
      <c r="G232" s="151" t="s">
        <v>259</v>
      </c>
      <c r="H232" s="152" t="s">
        <v>259</v>
      </c>
      <c r="I232" s="244" t="s">
        <v>259</v>
      </c>
      <c r="J232" s="175" t="s">
        <v>259</v>
      </c>
      <c r="K232" s="259" t="s">
        <v>259</v>
      </c>
      <c r="L232" s="152" t="s">
        <v>259</v>
      </c>
      <c r="M232" s="152" t="s">
        <v>259</v>
      </c>
      <c r="N232" s="152" t="s">
        <v>259</v>
      </c>
      <c r="O232" s="13" t="s">
        <v>259</v>
      </c>
      <c r="P232" s="13" t="s">
        <v>259</v>
      </c>
      <c r="Q232" s="13" t="s">
        <v>259</v>
      </c>
      <c r="R232" s="13" t="s">
        <v>259</v>
      </c>
      <c r="S232" s="13" t="s">
        <v>259</v>
      </c>
      <c r="T232" s="2" t="str">
        <f>IF(Config!$B$2='Data Validations'!$E$2,Text!#REF!,IF(Config!$B$2='Data Validations'!$E$3,Text!C233,"Select a lanaguage in config"))</f>
        <v>_</v>
      </c>
      <c r="U232" s="13" t="s">
        <v>259</v>
      </c>
      <c r="V232" s="13" t="s">
        <v>259</v>
      </c>
      <c r="W232" s="13" t="s">
        <v>259</v>
      </c>
      <c r="X232" s="13" t="s">
        <v>259</v>
      </c>
      <c r="Y232" s="13" t="s">
        <v>259</v>
      </c>
      <c r="Z232" s="13" t="s">
        <v>259</v>
      </c>
      <c r="AA232" s="13" t="s">
        <v>259</v>
      </c>
      <c r="AB232" s="61" t="s">
        <v>328</v>
      </c>
      <c r="AC232" s="2"/>
      <c r="AD232" s="2"/>
    </row>
    <row r="233" spans="1:30" ht="15" customHeight="1" x14ac:dyDescent="0.45">
      <c r="A233" s="289" t="s">
        <v>149</v>
      </c>
      <c r="B233" s="1" t="s">
        <v>1500</v>
      </c>
      <c r="C233" s="1" t="s">
        <v>239</v>
      </c>
      <c r="D233" s="6"/>
      <c r="E233" s="6"/>
      <c r="F233" s="13" t="s">
        <v>54</v>
      </c>
      <c r="G233" s="168"/>
      <c r="H233" s="169"/>
      <c r="I233" s="251"/>
      <c r="J233" s="181"/>
      <c r="K233" s="41"/>
      <c r="L233" s="14" t="s">
        <v>54</v>
      </c>
      <c r="M233" s="14" t="s">
        <v>54</v>
      </c>
      <c r="N233" s="14" t="s">
        <v>54</v>
      </c>
      <c r="O233" s="14"/>
      <c r="P233" s="14"/>
      <c r="Q233" s="2"/>
      <c r="R233" s="2"/>
      <c r="S233" s="62" t="s">
        <v>305</v>
      </c>
      <c r="T233" s="2" t="str">
        <f>IF(Config!$B$2='Data Validations'!$E$2,Text!B234,IF(Config!$B$2='Data Validations'!$E$3,Text!C234,"Select a lanaguage in config"))</f>
        <v>Microsoft Purview Compliance Manager is a feature in the Microsoft Purview compliance portal that helps organizations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organizations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v>
      </c>
      <c r="U233" s="4" t="s">
        <v>569</v>
      </c>
      <c r="V233" s="120" t="s">
        <v>1259</v>
      </c>
      <c r="W233" s="21" t="s">
        <v>604</v>
      </c>
      <c r="X233" s="37" t="s">
        <v>281</v>
      </c>
      <c r="Y233" s="26" t="s">
        <v>605</v>
      </c>
      <c r="Z233" s="26" t="s">
        <v>384</v>
      </c>
      <c r="AA233" s="2" t="s">
        <v>238</v>
      </c>
      <c r="AB233" s="264" t="s">
        <v>250</v>
      </c>
      <c r="AC233" s="2"/>
      <c r="AD233" s="1"/>
    </row>
    <row r="234" spans="1:30" ht="15" customHeight="1" x14ac:dyDescent="0.45">
      <c r="A234" s="289" t="s">
        <v>606</v>
      </c>
      <c r="B234" s="1" t="s">
        <v>1499</v>
      </c>
      <c r="C234" s="1" t="s">
        <v>239</v>
      </c>
      <c r="D234" s="6" t="str">
        <f>CONCATENATE(ROW(A105),",",ROW(A128),",",ROW(A187))</f>
        <v>105,128,187</v>
      </c>
      <c r="E234" s="6" t="s">
        <v>310</v>
      </c>
      <c r="F234" s="13" t="s">
        <v>54</v>
      </c>
      <c r="G234" s="156"/>
      <c r="H234" s="157"/>
      <c r="I234" s="245"/>
      <c r="J234" s="177"/>
      <c r="K234" s="41"/>
      <c r="L234" s="14" t="s">
        <v>54</v>
      </c>
      <c r="M234" s="14" t="s">
        <v>54</v>
      </c>
      <c r="N234" s="14" t="s">
        <v>54</v>
      </c>
      <c r="O234" s="14"/>
      <c r="P234" s="14"/>
      <c r="Q234" s="2"/>
      <c r="R234" s="2"/>
      <c r="S234" s="62" t="s">
        <v>305</v>
      </c>
      <c r="T234" s="2" t="str">
        <f>IF(Config!$B$2='Data Validations'!$E$2,Text!B235,IF(Config!$B$2='Data Validations'!$E$3,Text!C235,"Select a lanaguage in config"))</f>
        <v>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organization. Microsoft Purview Communication Compliance takes advantage of Trainable classifiers to detect policy violations. It must be stressed that communications compliance will only search for what it is configured to do so, i.e., what an organization has defined in scoped Communication Compliance policies.</v>
      </c>
      <c r="U234" s="2" t="s">
        <v>607</v>
      </c>
      <c r="V234" s="120" t="s">
        <v>1259</v>
      </c>
      <c r="W234" s="21" t="s">
        <v>515</v>
      </c>
      <c r="X234" s="25" t="s">
        <v>1248</v>
      </c>
      <c r="Y234" s="26" t="s">
        <v>589</v>
      </c>
      <c r="Z234" s="26" t="s">
        <v>1522</v>
      </c>
      <c r="AA234" s="2" t="s">
        <v>238</v>
      </c>
      <c r="AB234" s="264"/>
      <c r="AC234" s="2" t="s">
        <v>543</v>
      </c>
      <c r="AD234" s="2"/>
    </row>
    <row r="235" spans="1:30" ht="15" customHeight="1" x14ac:dyDescent="0.45">
      <c r="A235" s="289" t="s">
        <v>608</v>
      </c>
      <c r="B235" s="1" t="s">
        <v>85</v>
      </c>
      <c r="C235" s="1" t="s">
        <v>239</v>
      </c>
      <c r="D235" s="5"/>
      <c r="E235" s="5"/>
      <c r="F235" s="13" t="s">
        <v>54</v>
      </c>
      <c r="G235" s="156"/>
      <c r="H235" s="157"/>
      <c r="I235" s="245"/>
      <c r="J235" s="177"/>
      <c r="K235" s="41"/>
      <c r="L235" s="14" t="s">
        <v>54</v>
      </c>
      <c r="M235" s="14" t="s">
        <v>54</v>
      </c>
      <c r="N235" s="14" t="s">
        <v>54</v>
      </c>
      <c r="O235" s="14"/>
      <c r="P235" s="14"/>
      <c r="Q235" s="2"/>
      <c r="R235" s="2"/>
      <c r="S235" s="2" t="s">
        <v>305</v>
      </c>
      <c r="T235" s="2" t="str">
        <f>IF(Config!$B$2='Data Validations'!$E$2,Text!B215,IF(Config!$B$2='Data Validations'!$E$3,Text!C215,"Select a lanaguage in config"))</f>
        <v>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v>
      </c>
      <c r="U235" s="2" t="s">
        <v>609</v>
      </c>
      <c r="V235" s="120" t="s">
        <v>1259</v>
      </c>
      <c r="W235" s="10" t="s">
        <v>515</v>
      </c>
      <c r="X235" s="25" t="s">
        <v>1248</v>
      </c>
      <c r="Y235" s="26" t="s">
        <v>610</v>
      </c>
      <c r="Z235" s="26" t="s">
        <v>1270</v>
      </c>
      <c r="AA235" s="2" t="s">
        <v>238</v>
      </c>
      <c r="AB235" s="264"/>
      <c r="AC235" s="2"/>
      <c r="AD235" s="1"/>
    </row>
    <row r="236" spans="1:30" ht="15" customHeight="1" x14ac:dyDescent="0.45">
      <c r="A236" s="289" t="s">
        <v>611</v>
      </c>
      <c r="B236" s="1" t="s">
        <v>85</v>
      </c>
      <c r="C236" s="1" t="s">
        <v>239</v>
      </c>
      <c r="D236" s="5"/>
      <c r="E236" s="5"/>
      <c r="F236" s="13" t="s">
        <v>54</v>
      </c>
      <c r="G236" s="156"/>
      <c r="H236" s="157"/>
      <c r="I236" s="245"/>
      <c r="J236" s="177"/>
      <c r="K236" s="41"/>
      <c r="L236" s="14" t="s">
        <v>54</v>
      </c>
      <c r="M236" s="14" t="s">
        <v>54</v>
      </c>
      <c r="N236" s="14" t="s">
        <v>54</v>
      </c>
      <c r="O236" s="14"/>
      <c r="P236" s="14"/>
      <c r="Q236" s="2"/>
      <c r="R236" s="2"/>
      <c r="S236" s="2" t="s">
        <v>305</v>
      </c>
      <c r="T236" s="2" t="str">
        <f>IF(Config!$B$2='Data Validations'!$E$2,Text!B236,IF(Config!$B$2='Data Validations'!$E$3,Text!C236,"Select a lanaguage in config"))</f>
        <v>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v>
      </c>
      <c r="U236" s="2" t="s">
        <v>609</v>
      </c>
      <c r="V236" s="120" t="s">
        <v>1259</v>
      </c>
      <c r="W236" s="10" t="s">
        <v>515</v>
      </c>
      <c r="X236" s="25" t="s">
        <v>1248</v>
      </c>
      <c r="Y236" s="26" t="s">
        <v>610</v>
      </c>
      <c r="Z236" s="26" t="s">
        <v>1270</v>
      </c>
      <c r="AA236" s="2" t="s">
        <v>238</v>
      </c>
      <c r="AB236" s="264"/>
      <c r="AC236" s="2"/>
      <c r="AD236" s="1"/>
    </row>
    <row r="237" spans="1:30" x14ac:dyDescent="0.45">
      <c r="A237" s="289" t="s">
        <v>163</v>
      </c>
      <c r="B237" s="1" t="s">
        <v>376</v>
      </c>
      <c r="C237" s="1" t="s">
        <v>239</v>
      </c>
      <c r="D237" s="6"/>
      <c r="E237" s="6"/>
      <c r="F237" s="13" t="s">
        <v>54</v>
      </c>
      <c r="G237" s="156"/>
      <c r="H237" s="154"/>
      <c r="I237" s="245"/>
      <c r="J237" s="177"/>
      <c r="L237" s="14" t="s">
        <v>54</v>
      </c>
      <c r="M237" s="14" t="s">
        <v>54</v>
      </c>
      <c r="N237" s="14" t="s">
        <v>54</v>
      </c>
      <c r="S237" s="4" t="s">
        <v>233</v>
      </c>
      <c r="T237" s="2" t="str">
        <f>IF(Config!$B$2='Data Validations'!$E$2,Text!B237,IF(Config!$B$2='Data Validations'!$E$3,Text!C237,"Select a lanaguage in config"))</f>
        <v>Azure Policy helps to enforce organizational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organizations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v>
      </c>
      <c r="U237" s="4" t="s">
        <v>612</v>
      </c>
      <c r="V237" s="122" t="s">
        <v>417</v>
      </c>
      <c r="W237" s="21" t="s">
        <v>613</v>
      </c>
      <c r="X237" s="26" t="s">
        <v>466</v>
      </c>
      <c r="Y237" s="29" t="s">
        <v>614</v>
      </c>
      <c r="Z237" s="29" t="s">
        <v>1277</v>
      </c>
      <c r="AC237" s="2" t="s">
        <v>543</v>
      </c>
    </row>
    <row r="238" spans="1:30" ht="15" customHeight="1" x14ac:dyDescent="0.45">
      <c r="A238" s="289" t="s">
        <v>123</v>
      </c>
      <c r="B238" s="1" t="s">
        <v>1499</v>
      </c>
      <c r="C238" s="1" t="s">
        <v>239</v>
      </c>
      <c r="D238" s="6" t="str">
        <f>CONCATENATE(ROW(A8),",",ROW(A9),",",ROW(A10))</f>
        <v>8,9,10</v>
      </c>
      <c r="E238" s="6" t="s">
        <v>310</v>
      </c>
      <c r="F238" s="13" t="s">
        <v>54</v>
      </c>
      <c r="G238" s="158"/>
      <c r="H238" s="155"/>
      <c r="I238" s="245"/>
      <c r="J238" s="176"/>
      <c r="K238" s="41"/>
      <c r="L238" s="14" t="s">
        <v>54</v>
      </c>
      <c r="M238" s="14" t="s">
        <v>54</v>
      </c>
      <c r="N238" s="14" t="s">
        <v>54</v>
      </c>
      <c r="O238" s="14"/>
      <c r="P238" s="14"/>
      <c r="Q238" s="2"/>
      <c r="R238" s="2"/>
      <c r="S238" s="2" t="s">
        <v>305</v>
      </c>
      <c r="T238" s="2" t="str">
        <f>IF(Config!$B$2='Data Validations'!$E$2,Text!B238,IF(Config!$B$2='Data Validations'!$E$3,Text!C238,"Select a lanaguage in config"))</f>
        <v>Customer Lockbox ensures that Microsoft can't access an organizations content to do service operations without their explicit approval. Customer Lockbox brings the customer into the approval workflow process that Microsoft uses to ensure only authorized requests allow access to an organizations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organization, and provide direct-access control to their content.</v>
      </c>
      <c r="U238" s="2" t="s">
        <v>546</v>
      </c>
      <c r="V238" s="120" t="s">
        <v>1259</v>
      </c>
      <c r="W238" s="10" t="s">
        <v>615</v>
      </c>
      <c r="X238" s="25" t="s">
        <v>281</v>
      </c>
      <c r="Y238" s="29" t="s">
        <v>614</v>
      </c>
      <c r="Z238" s="26" t="s">
        <v>1278</v>
      </c>
      <c r="AA238" s="2" t="s">
        <v>238</v>
      </c>
      <c r="AB238" s="264"/>
      <c r="AC238" s="2" t="s">
        <v>543</v>
      </c>
      <c r="AD238" s="1" t="s">
        <v>323</v>
      </c>
    </row>
    <row r="239" spans="1:30" ht="15" customHeight="1" x14ac:dyDescent="0.45">
      <c r="A239" s="289" t="s">
        <v>111</v>
      </c>
      <c r="B239" s="1" t="s">
        <v>1499</v>
      </c>
      <c r="C239" s="1" t="s">
        <v>239</v>
      </c>
      <c r="D239" s="6" t="str">
        <f>CONCATENATE(ROW(A8),",",ROW(A9),",",ROW(A10))</f>
        <v>8,9,10</v>
      </c>
      <c r="E239" s="6"/>
      <c r="F239" s="13" t="s">
        <v>54</v>
      </c>
      <c r="G239" s="156"/>
      <c r="H239" s="157"/>
      <c r="I239" s="245"/>
      <c r="J239" s="177"/>
      <c r="K239" s="41"/>
      <c r="L239" s="14" t="s">
        <v>54</v>
      </c>
      <c r="M239" s="14" t="s">
        <v>54</v>
      </c>
      <c r="N239" s="14" t="s">
        <v>54</v>
      </c>
      <c r="O239" s="14"/>
      <c r="P239" s="14"/>
      <c r="Q239" s="2"/>
      <c r="R239" s="2"/>
      <c r="S239" s="2" t="s">
        <v>278</v>
      </c>
      <c r="T239" s="2" t="str">
        <f>IF(Config!$B$2='Data Validations'!$E$2,Text!B239,IF(Config!$B$2='Data Validations'!$E$3,Text!C239,"Select a lanaguage in config"))</f>
        <v>Your data is always encrypted at rest in the Microsoft 365 service with BitLocker and DKM. Customer Key provides extra protection against viewing of data by unauthorized systems or personnel, and complements BitLocker disk encryption in Microsoft data centres. Service encryption is not meant to prevent Microsoft personnel from accessing your data. Instead, Customer Key helps you meet regulatory or compliance obligations for controlling root keys. You explicitly authorize Microsoft 365 services to use your encryption keys to provide value added cloud services, such as eDiscovery, anti-malware, anti-spam, search indexing, and so on. Customer Key is built on service encryption and lets you provide and control encryption keys. Microsoft 365 then uses these keys to encrypt your data at rest as described in the Online Services Terms (OST). Customer Key helps you meet compliance obligations because you control the encryption keys that Microsoft 365 uses to encrypt and decrypt data.</v>
      </c>
      <c r="U239" s="2" t="s">
        <v>569</v>
      </c>
      <c r="V239" s="120" t="s">
        <v>1259</v>
      </c>
      <c r="W239" s="10" t="s">
        <v>615</v>
      </c>
      <c r="X239" s="25" t="s">
        <v>281</v>
      </c>
      <c r="Y239" s="29" t="s">
        <v>616</v>
      </c>
      <c r="Z239" s="26" t="s">
        <v>1278</v>
      </c>
      <c r="AA239" s="2"/>
      <c r="AB239" s="264"/>
      <c r="AC239" s="2"/>
      <c r="AD239" s="1"/>
    </row>
    <row r="240" spans="1:30" ht="14.1" customHeight="1" x14ac:dyDescent="0.45">
      <c r="A240" s="289" t="s">
        <v>106</v>
      </c>
      <c r="B240" s="1" t="s">
        <v>1499</v>
      </c>
      <c r="C240" s="1" t="s">
        <v>239</v>
      </c>
      <c r="D240" s="5" t="str">
        <f>CONCATENATE(ROW(A8),",",ROW(A9),",",ROW(A10))</f>
        <v>8,9,10</v>
      </c>
      <c r="E240" s="5"/>
      <c r="F240" s="13" t="s">
        <v>54</v>
      </c>
      <c r="G240" s="156"/>
      <c r="H240" s="157"/>
      <c r="I240" s="247"/>
      <c r="J240" s="176"/>
      <c r="K240" s="41"/>
      <c r="L240" s="14" t="s">
        <v>54</v>
      </c>
      <c r="M240" s="14" t="s">
        <v>54</v>
      </c>
      <c r="N240" s="14" t="s">
        <v>54</v>
      </c>
      <c r="O240" s="14"/>
      <c r="P240" s="14"/>
      <c r="Q240" s="2"/>
      <c r="R240" s="2"/>
      <c r="S240" s="2" t="s">
        <v>278</v>
      </c>
      <c r="T240" s="2" t="str">
        <f>IF(Config!$B$2='Data Validations'!$E$2,Text!B240,IF(Config!$B$2='Data Validations'!$E$3,Text!C240,"Select a lanaguage in config"))</f>
        <v>Double Key Encryption (DKE) uses two keys together to access protected content. Microsoft stores one key in Microsoft Azure, and an organization holds the other key. The organization maintains full control of one of their keys using the Double Key Encryption service. The organization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organization stores the protected data.</v>
      </c>
      <c r="U240" s="2" t="s">
        <v>569</v>
      </c>
      <c r="V240" s="120" t="s">
        <v>1259</v>
      </c>
      <c r="W240" s="21" t="s">
        <v>515</v>
      </c>
      <c r="X240" s="25" t="s">
        <v>1232</v>
      </c>
      <c r="Y240" s="29" t="s">
        <v>616</v>
      </c>
      <c r="Z240" s="26" t="s">
        <v>1278</v>
      </c>
      <c r="AA240" s="2" t="s">
        <v>238</v>
      </c>
      <c r="AB240" s="264"/>
      <c r="AC240" s="2" t="s">
        <v>543</v>
      </c>
      <c r="AD240" s="1"/>
    </row>
    <row r="241" spans="1:30" ht="15" customHeight="1" thickBot="1" x14ac:dyDescent="0.5">
      <c r="A241" s="289" t="s">
        <v>617</v>
      </c>
      <c r="B241" s="1" t="s">
        <v>1499</v>
      </c>
      <c r="C241" s="1" t="s">
        <v>239</v>
      </c>
      <c r="D241" s="5" t="str">
        <f>CONCATENATE(ROW(A8),",",ROW(A9),",",ROW(A10))</f>
        <v>8,9,10</v>
      </c>
      <c r="E241" s="5"/>
      <c r="F241" s="13" t="s">
        <v>54</v>
      </c>
      <c r="G241" s="172"/>
      <c r="H241" s="271"/>
      <c r="I241" s="258"/>
      <c r="J241" s="183"/>
      <c r="K241" s="41"/>
      <c r="L241" s="14" t="s">
        <v>54</v>
      </c>
      <c r="M241" s="14" t="s">
        <v>54</v>
      </c>
      <c r="N241" s="14" t="s">
        <v>54</v>
      </c>
      <c r="O241" s="14"/>
      <c r="P241" s="14"/>
      <c r="Q241" s="2"/>
      <c r="R241" s="2"/>
      <c r="S241" s="2" t="s">
        <v>278</v>
      </c>
      <c r="T241" s="2" t="str">
        <f>IF(Config!$B$2='Data Validations'!$E$2,Text!B241,IF(Config!$B$2='Data Validations'!$E$3,Text!C241,"Select a lanaguage in config"))</f>
        <v>Microsoft 365 enables communication and collaboration across groups and organizations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organization. This may also include situations when you need to restrict communication and collaboration between certain people inside organizations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v>
      </c>
      <c r="U241" s="2" t="s">
        <v>569</v>
      </c>
      <c r="V241" s="120" t="s">
        <v>1259</v>
      </c>
      <c r="W241" s="21" t="s">
        <v>515</v>
      </c>
      <c r="X241" s="25" t="s">
        <v>281</v>
      </c>
      <c r="Y241" s="29" t="s">
        <v>614</v>
      </c>
      <c r="Z241" s="26" t="s">
        <v>1278</v>
      </c>
      <c r="AA241" s="2"/>
      <c r="AB241" s="264"/>
      <c r="AC241" s="2" t="s">
        <v>543</v>
      </c>
      <c r="AD241" s="1"/>
    </row>
  </sheetData>
  <autoFilter ref="A1:AC241" xr:uid="{FCE3DA7F-580C-4DFD-86AE-60298660D065}"/>
  <phoneticPr fontId="11" type="noConversion"/>
  <conditionalFormatting sqref="G3:J3">
    <cfRule type="expression" dxfId="203" priority="289">
      <formula>$F$3="D"</formula>
    </cfRule>
  </conditionalFormatting>
  <conditionalFormatting sqref="G4:J4">
    <cfRule type="expression" dxfId="202" priority="287">
      <formula>$F$4="D"</formula>
    </cfRule>
  </conditionalFormatting>
  <conditionalFormatting sqref="G5:J5">
    <cfRule type="expression" dxfId="201" priority="283">
      <formula>$F$5="D"</formula>
    </cfRule>
  </conditionalFormatting>
  <conditionalFormatting sqref="G6:J6">
    <cfRule type="expression" dxfId="200" priority="280">
      <formula>$F$6="D"</formula>
    </cfRule>
  </conditionalFormatting>
  <conditionalFormatting sqref="G8:J8">
    <cfRule type="expression" dxfId="199" priority="276">
      <formula>$F$8="D"</formula>
    </cfRule>
  </conditionalFormatting>
  <conditionalFormatting sqref="G9:J9">
    <cfRule type="expression" dxfId="198" priority="275">
      <formula>$F$9="D"</formula>
    </cfRule>
  </conditionalFormatting>
  <conditionalFormatting sqref="G10:J10">
    <cfRule type="expression" dxfId="197" priority="274">
      <formula>$F$10="D"</formula>
    </cfRule>
  </conditionalFormatting>
  <conditionalFormatting sqref="G13:J13">
    <cfRule type="expression" dxfId="196" priority="25">
      <formula>$F$13="D"</formula>
    </cfRule>
  </conditionalFormatting>
  <conditionalFormatting sqref="G14:J14">
    <cfRule type="expression" dxfId="195" priority="266">
      <formula>$F$14="D"</formula>
    </cfRule>
  </conditionalFormatting>
  <conditionalFormatting sqref="G15:J15">
    <cfRule type="expression" dxfId="194" priority="265">
      <formula>$F$15="D"</formula>
    </cfRule>
  </conditionalFormatting>
  <conditionalFormatting sqref="G16:J16">
    <cfRule type="expression" dxfId="193" priority="264">
      <formula>$F$16="D"</formula>
    </cfRule>
  </conditionalFormatting>
  <conditionalFormatting sqref="G17:J17">
    <cfRule type="expression" dxfId="192" priority="263">
      <formula>$F$17="D"</formula>
    </cfRule>
  </conditionalFormatting>
  <conditionalFormatting sqref="G18:J18">
    <cfRule type="expression" dxfId="191" priority="92">
      <formula>$F$18="D"</formula>
    </cfRule>
  </conditionalFormatting>
  <conditionalFormatting sqref="G19:J19">
    <cfRule type="expression" dxfId="190" priority="77">
      <formula>$F$19="D"</formula>
    </cfRule>
  </conditionalFormatting>
  <conditionalFormatting sqref="G20:J20">
    <cfRule type="expression" dxfId="189" priority="80">
      <formula>$F$20="D"</formula>
    </cfRule>
  </conditionalFormatting>
  <conditionalFormatting sqref="G21:J21">
    <cfRule type="expression" dxfId="188" priority="76">
      <formula>$F$21="D"</formula>
    </cfRule>
  </conditionalFormatting>
  <conditionalFormatting sqref="G22:J22">
    <cfRule type="expression" dxfId="187" priority="60">
      <formula>$F$22="D"</formula>
    </cfRule>
  </conditionalFormatting>
  <conditionalFormatting sqref="G23:J23">
    <cfRule type="expression" dxfId="186" priority="78">
      <formula>$F$23="D"</formula>
    </cfRule>
  </conditionalFormatting>
  <conditionalFormatting sqref="G25:J25">
    <cfRule type="expression" dxfId="185" priority="260">
      <formula>$F$25="D"</formula>
    </cfRule>
  </conditionalFormatting>
  <conditionalFormatting sqref="G26:J26">
    <cfRule type="expression" dxfId="184" priority="259">
      <formula>$F$26="D"</formula>
    </cfRule>
  </conditionalFormatting>
  <conditionalFormatting sqref="G27:J27">
    <cfRule type="expression" dxfId="183" priority="258">
      <formula>$F$27="D"</formula>
    </cfRule>
  </conditionalFormatting>
  <conditionalFormatting sqref="G28:J28">
    <cfRule type="expression" dxfId="182" priority="257">
      <formula>$F$28="D"</formula>
    </cfRule>
  </conditionalFormatting>
  <conditionalFormatting sqref="G29:J29">
    <cfRule type="expression" dxfId="181" priority="256">
      <formula>$F$29="D"</formula>
    </cfRule>
  </conditionalFormatting>
  <conditionalFormatting sqref="G30:J30">
    <cfRule type="expression" dxfId="180" priority="255">
      <formula>$F$30="D"</formula>
    </cfRule>
  </conditionalFormatting>
  <conditionalFormatting sqref="G31:J31">
    <cfRule type="expression" dxfId="179" priority="216">
      <formula>$F$31="D"</formula>
    </cfRule>
  </conditionalFormatting>
  <conditionalFormatting sqref="G32:J32">
    <cfRule type="expression" dxfId="178" priority="215">
      <formula>$F$32="D"</formula>
    </cfRule>
  </conditionalFormatting>
  <conditionalFormatting sqref="G33:J33">
    <cfRule type="expression" dxfId="177" priority="75">
      <formula>$F$33="D"</formula>
    </cfRule>
  </conditionalFormatting>
  <conditionalFormatting sqref="G34:J34">
    <cfRule type="expression" dxfId="176" priority="55">
      <formula>$F$34="D"</formula>
    </cfRule>
  </conditionalFormatting>
  <conditionalFormatting sqref="G35:J35">
    <cfRule type="expression" dxfId="175" priority="254">
      <formula>$F$35="D"</formula>
    </cfRule>
  </conditionalFormatting>
  <conditionalFormatting sqref="G37:J37">
    <cfRule type="expression" dxfId="174" priority="253">
      <formula>$F$37="D"</formula>
    </cfRule>
  </conditionalFormatting>
  <conditionalFormatting sqref="G38:J38">
    <cfRule type="expression" dxfId="173" priority="34">
      <formula>$F$38="D"</formula>
    </cfRule>
  </conditionalFormatting>
  <conditionalFormatting sqref="G39:J39">
    <cfRule type="expression" dxfId="172" priority="251">
      <formula>$F$39="D"</formula>
    </cfRule>
  </conditionalFormatting>
  <conditionalFormatting sqref="G40:J40">
    <cfRule type="expression" dxfId="171" priority="33">
      <formula>$F$40="D"</formula>
    </cfRule>
  </conditionalFormatting>
  <conditionalFormatting sqref="G41:J41">
    <cfRule type="expression" dxfId="170" priority="26">
      <formula>$F$41="D"</formula>
    </cfRule>
  </conditionalFormatting>
  <conditionalFormatting sqref="G42:J42">
    <cfRule type="expression" dxfId="169" priority="7">
      <formula>$F$42="D"</formula>
    </cfRule>
  </conditionalFormatting>
  <conditionalFormatting sqref="G45:J45">
    <cfRule type="expression" dxfId="168" priority="272">
      <formula>$F$45="D"</formula>
    </cfRule>
  </conditionalFormatting>
  <conditionalFormatting sqref="G46:J46">
    <cfRule type="expression" dxfId="167" priority="249">
      <formula>$F$46="D"</formula>
    </cfRule>
  </conditionalFormatting>
  <conditionalFormatting sqref="G47:J47">
    <cfRule type="expression" dxfId="166" priority="248">
      <formula>$F$47="D"</formula>
    </cfRule>
  </conditionalFormatting>
  <conditionalFormatting sqref="G48:J48">
    <cfRule type="expression" dxfId="165" priority="247">
      <formula>$F$48="D"</formula>
    </cfRule>
  </conditionalFormatting>
  <conditionalFormatting sqref="G49:J49">
    <cfRule type="expression" dxfId="164" priority="89">
      <formula>$F$49="D"</formula>
    </cfRule>
  </conditionalFormatting>
  <conditionalFormatting sqref="G50:J50">
    <cfRule type="expression" dxfId="163" priority="88">
      <formula>$F$50="D"</formula>
    </cfRule>
  </conditionalFormatting>
  <conditionalFormatting sqref="G51:J51">
    <cfRule type="expression" dxfId="162" priority="73">
      <formula>$F$51="D"</formula>
    </cfRule>
  </conditionalFormatting>
  <conditionalFormatting sqref="G52:J52">
    <cfRule type="expression" dxfId="161" priority="72">
      <formula>$F$52="D"</formula>
    </cfRule>
  </conditionalFormatting>
  <conditionalFormatting sqref="G53:I53">
    <cfRule type="expression" dxfId="160" priority="54">
      <formula>$F$53="D"</formula>
    </cfRule>
  </conditionalFormatting>
  <conditionalFormatting sqref="G54:J54">
    <cfRule type="expression" dxfId="159" priority="53">
      <formula>$F$54="D"</formula>
    </cfRule>
  </conditionalFormatting>
  <conditionalFormatting sqref="G55:J55">
    <cfRule type="expression" dxfId="158" priority="52">
      <formula>$F$55="D"</formula>
    </cfRule>
  </conditionalFormatting>
  <conditionalFormatting sqref="G57:J57">
    <cfRule type="expression" dxfId="157" priority="246">
      <formula>$F$57="D"</formula>
    </cfRule>
  </conditionalFormatting>
  <conditionalFormatting sqref="G58:J58">
    <cfRule type="expression" dxfId="156" priority="71">
      <formula>$F$58="D"</formula>
    </cfRule>
  </conditionalFormatting>
  <conditionalFormatting sqref="G59:J59">
    <cfRule type="expression" dxfId="155" priority="245">
      <formula>$F$59="D"</formula>
    </cfRule>
  </conditionalFormatting>
  <conditionalFormatting sqref="G60:J60">
    <cfRule type="expression" dxfId="154" priority="244">
      <formula>$F$60="D"</formula>
    </cfRule>
  </conditionalFormatting>
  <conditionalFormatting sqref="G61:J61">
    <cfRule type="expression" dxfId="153" priority="243">
      <formula>$F$61="D"</formula>
    </cfRule>
  </conditionalFormatting>
  <conditionalFormatting sqref="G62:J62">
    <cfRule type="expression" dxfId="152" priority="242">
      <formula>$F$62="D"</formula>
    </cfRule>
  </conditionalFormatting>
  <conditionalFormatting sqref="G63:J63">
    <cfRule type="expression" dxfId="151" priority="241">
      <formula>$F$63="D"</formula>
    </cfRule>
  </conditionalFormatting>
  <conditionalFormatting sqref="G64:J64">
    <cfRule type="expression" dxfId="150" priority="70">
      <formula>$F$64="D"</formula>
    </cfRule>
  </conditionalFormatting>
  <conditionalFormatting sqref="G65:J65">
    <cfRule type="expression" dxfId="149" priority="69">
      <formula>$F$65="D"</formula>
    </cfRule>
  </conditionalFormatting>
  <conditionalFormatting sqref="G66:J66">
    <cfRule type="expression" dxfId="148" priority="68">
      <formula>$F$66="D"</formula>
    </cfRule>
  </conditionalFormatting>
  <conditionalFormatting sqref="G68:J68">
    <cfRule type="expression" dxfId="147" priority="239">
      <formula>$F$68="D"</formula>
    </cfRule>
  </conditionalFormatting>
  <conditionalFormatting sqref="G69:J69">
    <cfRule type="expression" dxfId="146" priority="238">
      <formula>$F$69="D"</formula>
    </cfRule>
  </conditionalFormatting>
  <conditionalFormatting sqref="G70:J70">
    <cfRule type="expression" dxfId="145" priority="237">
      <formula>$F$70="D"</formula>
    </cfRule>
  </conditionalFormatting>
  <conditionalFormatting sqref="G71:J71">
    <cfRule type="expression" dxfId="144" priority="236">
      <formula>$F$71="D"</formula>
    </cfRule>
  </conditionalFormatting>
  <conditionalFormatting sqref="G73:J73">
    <cfRule type="expression" dxfId="143" priority="235">
      <formula>$F$73="D"</formula>
    </cfRule>
  </conditionalFormatting>
  <conditionalFormatting sqref="G76:J76">
    <cfRule type="expression" dxfId="142" priority="234">
      <formula>$F$76="D"</formula>
    </cfRule>
  </conditionalFormatting>
  <conditionalFormatting sqref="G77:J77">
    <cfRule type="expression" dxfId="141" priority="233">
      <formula>$F$77="D"</formula>
    </cfRule>
  </conditionalFormatting>
  <conditionalFormatting sqref="G78:J78">
    <cfRule type="expression" dxfId="140" priority="232">
      <formula>$F$78="D"</formula>
    </cfRule>
  </conditionalFormatting>
  <conditionalFormatting sqref="G79:J79">
    <cfRule type="expression" dxfId="139" priority="231">
      <formula>$F$79="D"</formula>
    </cfRule>
  </conditionalFormatting>
  <conditionalFormatting sqref="G80:J80">
    <cfRule type="expression" dxfId="138" priority="116">
      <formula>$F$80="D"</formula>
    </cfRule>
  </conditionalFormatting>
  <conditionalFormatting sqref="G81:J81">
    <cfRule type="expression" dxfId="137" priority="115">
      <formula>$F$81="D"</formula>
    </cfRule>
  </conditionalFormatting>
  <conditionalFormatting sqref="G83:J83">
    <cfRule type="expression" dxfId="136" priority="225">
      <formula>$F$83="D"</formula>
    </cfRule>
  </conditionalFormatting>
  <conditionalFormatting sqref="G84:J84">
    <cfRule type="expression" dxfId="135" priority="224">
      <formula>$F$84="D"</formula>
    </cfRule>
  </conditionalFormatting>
  <conditionalFormatting sqref="G85:J85">
    <cfRule type="expression" dxfId="134" priority="119">
      <formula>$F$85="D"</formula>
    </cfRule>
  </conditionalFormatting>
  <conditionalFormatting sqref="G86:J86">
    <cfRule type="expression" dxfId="133" priority="67">
      <formula>$F$86="D"</formula>
    </cfRule>
  </conditionalFormatting>
  <conditionalFormatting sqref="G88:J88">
    <cfRule type="expression" dxfId="132" priority="118">
      <formula>$F$88="D"</formula>
    </cfRule>
  </conditionalFormatting>
  <conditionalFormatting sqref="G89:J89">
    <cfRule type="expression" dxfId="131" priority="117">
      <formula>$F$89="D"</formula>
    </cfRule>
  </conditionalFormatting>
  <conditionalFormatting sqref="G90:J90">
    <cfRule type="expression" dxfId="130" priority="51">
      <formula>$F$90="D"</formula>
    </cfRule>
  </conditionalFormatting>
  <conditionalFormatting sqref="G92:J92">
    <cfRule type="expression" dxfId="129" priority="86">
      <formula>$F$92="D"</formula>
    </cfRule>
  </conditionalFormatting>
  <conditionalFormatting sqref="G93:J93">
    <cfRule type="expression" dxfId="128" priority="85">
      <formula>$F$93="D"</formula>
    </cfRule>
  </conditionalFormatting>
  <conditionalFormatting sqref="G94:J94">
    <cfRule type="expression" dxfId="127" priority="84">
      <formula>$F$94="D"</formula>
    </cfRule>
  </conditionalFormatting>
  <conditionalFormatting sqref="G95:J95">
    <cfRule type="expression" dxfId="126" priority="50">
      <formula>$F$95="D"</formula>
    </cfRule>
  </conditionalFormatting>
  <conditionalFormatting sqref="G96:J96">
    <cfRule type="expression" dxfId="125" priority="49">
      <formula>$F$96="D"</formula>
    </cfRule>
  </conditionalFormatting>
  <conditionalFormatting sqref="G98:J98">
    <cfRule type="expression" dxfId="124" priority="229">
      <formula>$F$98="D"</formula>
    </cfRule>
  </conditionalFormatting>
  <conditionalFormatting sqref="G99:J99">
    <cfRule type="expression" dxfId="123" priority="228">
      <formula>$F$99="D"</formula>
    </cfRule>
  </conditionalFormatting>
  <conditionalFormatting sqref="G100:J100">
    <cfRule type="expression" dxfId="122" priority="227">
      <formula>$F$100="D"</formula>
    </cfRule>
  </conditionalFormatting>
  <conditionalFormatting sqref="G101:J101">
    <cfRule type="expression" dxfId="121" priority="226">
      <formula>$F$101="D"</formula>
    </cfRule>
  </conditionalFormatting>
  <conditionalFormatting sqref="G103:J103">
    <cfRule type="expression" dxfId="120" priority="220">
      <formula>$F$103="D"</formula>
    </cfRule>
  </conditionalFormatting>
  <conditionalFormatting sqref="G105:J105">
    <cfRule type="expression" dxfId="119" priority="219">
      <formula>$F$105="D"</formula>
    </cfRule>
  </conditionalFormatting>
  <conditionalFormatting sqref="G106:J106">
    <cfRule type="expression" dxfId="118" priority="218">
      <formula>$F$106="D"</formula>
    </cfRule>
  </conditionalFormatting>
  <conditionalFormatting sqref="G107:J107">
    <cfRule type="expression" dxfId="117" priority="217">
      <formula>$F$107="D"</formula>
    </cfRule>
  </conditionalFormatting>
  <conditionalFormatting sqref="G108:J108">
    <cfRule type="expression" dxfId="116" priority="214">
      <formula>$F$108="D"</formula>
    </cfRule>
  </conditionalFormatting>
  <conditionalFormatting sqref="G109:J109">
    <cfRule type="expression" dxfId="115" priority="90">
      <formula>$F$109="D"</formula>
    </cfRule>
  </conditionalFormatting>
  <conditionalFormatting sqref="G111:J111">
    <cfRule type="expression" dxfId="114" priority="66">
      <formula>$F$111="D"</formula>
    </cfRule>
  </conditionalFormatting>
  <conditionalFormatting sqref="G112:J112">
    <cfRule type="expression" dxfId="113" priority="213">
      <formula>$F$112="D"</formula>
    </cfRule>
  </conditionalFormatting>
  <conditionalFormatting sqref="G113:J113">
    <cfRule type="expression" dxfId="112" priority="212">
      <formula>$F$113="D"</formula>
    </cfRule>
  </conditionalFormatting>
  <conditionalFormatting sqref="G114:J114">
    <cfRule type="expression" dxfId="111" priority="211">
      <formula>$F$114="D"</formula>
    </cfRule>
  </conditionalFormatting>
  <conditionalFormatting sqref="G115:J115">
    <cfRule type="expression" dxfId="110" priority="210">
      <formula>$F$115="D"</formula>
    </cfRule>
  </conditionalFormatting>
  <conditionalFormatting sqref="G116:J116">
    <cfRule type="expression" dxfId="109" priority="209">
      <formula>$F$116="D"</formula>
    </cfRule>
  </conditionalFormatting>
  <conditionalFormatting sqref="G117:J117">
    <cfRule type="expression" dxfId="108" priority="208">
      <formula>$F$117="D"</formula>
    </cfRule>
  </conditionalFormatting>
  <conditionalFormatting sqref="G118:J118">
    <cfRule type="expression" dxfId="107" priority="207">
      <formula>$F$118="D"</formula>
    </cfRule>
  </conditionalFormatting>
  <conditionalFormatting sqref="G119:J119">
    <cfRule type="expression" dxfId="106" priority="206">
      <formula>$F$119="D"</formula>
    </cfRule>
  </conditionalFormatting>
  <conditionalFormatting sqref="G120:J120">
    <cfRule type="expression" dxfId="105" priority="205">
      <formula>$F$120="D"</formula>
    </cfRule>
  </conditionalFormatting>
  <conditionalFormatting sqref="G121:J121">
    <cfRule type="expression" dxfId="104" priority="204">
      <formula>$F$121="D"</formula>
    </cfRule>
  </conditionalFormatting>
  <conditionalFormatting sqref="G122:J122">
    <cfRule type="expression" dxfId="103" priority="203">
      <formula>$F$122="D"</formula>
    </cfRule>
  </conditionalFormatting>
  <conditionalFormatting sqref="G123:J123">
    <cfRule type="expression" dxfId="102" priority="202">
      <formula>$F$123="D"</formula>
    </cfRule>
  </conditionalFormatting>
  <conditionalFormatting sqref="G126:J126">
    <cfRule type="expression" dxfId="101" priority="200">
      <formula>$F$126="D"</formula>
    </cfRule>
  </conditionalFormatting>
  <conditionalFormatting sqref="G127:J127">
    <cfRule type="expression" dxfId="100" priority="201">
      <formula>$F$127="D"</formula>
    </cfRule>
  </conditionalFormatting>
  <conditionalFormatting sqref="G128:J128">
    <cfRule type="expression" dxfId="99" priority="199">
      <formula>$F$128="D"</formula>
    </cfRule>
  </conditionalFormatting>
  <conditionalFormatting sqref="G129:J129">
    <cfRule type="expression" dxfId="98" priority="198">
      <formula>$F$129="D"</formula>
    </cfRule>
  </conditionalFormatting>
  <conditionalFormatting sqref="G130:J130">
    <cfRule type="expression" dxfId="97" priority="197">
      <formula>$F$130="D"</formula>
    </cfRule>
  </conditionalFormatting>
  <conditionalFormatting sqref="G131:J131">
    <cfRule type="expression" dxfId="96" priority="91">
      <formula>$F$131="D"</formula>
    </cfRule>
  </conditionalFormatting>
  <conditionalFormatting sqref="G132:J132">
    <cfRule type="expression" dxfId="95" priority="65">
      <formula>$F$132="D"</formula>
    </cfRule>
  </conditionalFormatting>
  <conditionalFormatting sqref="G134:J134">
    <cfRule type="expression" dxfId="94" priority="195">
      <formula>$F$134="D"</formula>
    </cfRule>
  </conditionalFormatting>
  <conditionalFormatting sqref="G135:J135">
    <cfRule type="expression" dxfId="93" priority="194">
      <formula>$F$135="D"</formula>
    </cfRule>
  </conditionalFormatting>
  <conditionalFormatting sqref="G137:J137">
    <cfRule type="expression" dxfId="92" priority="193">
      <formula>$F$137="D"</formula>
    </cfRule>
  </conditionalFormatting>
  <conditionalFormatting sqref="G138:J138">
    <cfRule type="expression" dxfId="91" priority="192">
      <formula>$F$138="D"</formula>
    </cfRule>
  </conditionalFormatting>
  <conditionalFormatting sqref="G139:J139">
    <cfRule type="expression" dxfId="90" priority="64">
      <formula>$F$139="D"</formula>
    </cfRule>
  </conditionalFormatting>
  <conditionalFormatting sqref="G140:J140">
    <cfRule type="expression" dxfId="89" priority="191">
      <formula>$F$140="D"</formula>
    </cfRule>
  </conditionalFormatting>
  <conditionalFormatting sqref="G141:J141">
    <cfRule type="expression" dxfId="88" priority="190">
      <formula>$F$141="D"</formula>
    </cfRule>
  </conditionalFormatting>
  <conditionalFormatting sqref="G142:J142">
    <cfRule type="expression" dxfId="87" priority="189">
      <formula>$F$142="D"</formula>
    </cfRule>
  </conditionalFormatting>
  <conditionalFormatting sqref="G143:J143">
    <cfRule type="expression" dxfId="86" priority="188">
      <formula>$F$143="D"</formula>
    </cfRule>
  </conditionalFormatting>
  <conditionalFormatting sqref="G144:J144">
    <cfRule type="expression" dxfId="85" priority="187">
      <formula>$F$144="D"</formula>
    </cfRule>
  </conditionalFormatting>
  <conditionalFormatting sqref="G145:J145">
    <cfRule type="expression" dxfId="84" priority="186">
      <formula>$F$145="D"</formula>
    </cfRule>
  </conditionalFormatting>
  <conditionalFormatting sqref="G146:J146">
    <cfRule type="expression" dxfId="83" priority="185">
      <formula>$F$146="D"</formula>
    </cfRule>
  </conditionalFormatting>
  <conditionalFormatting sqref="G147:J147">
    <cfRule type="expression" dxfId="82" priority="184">
      <formula>$F$147="D"</formula>
    </cfRule>
  </conditionalFormatting>
  <conditionalFormatting sqref="G148:J148">
    <cfRule type="expression" dxfId="81" priority="183">
      <formula>$F$148="D"</formula>
    </cfRule>
  </conditionalFormatting>
  <conditionalFormatting sqref="G149:J149">
    <cfRule type="expression" dxfId="80" priority="182">
      <formula>$F$149="D"</formula>
    </cfRule>
  </conditionalFormatting>
  <conditionalFormatting sqref="G150:J150">
    <cfRule type="expression" dxfId="79" priority="181">
      <formula>$F$150="D"</formula>
    </cfRule>
  </conditionalFormatting>
  <conditionalFormatting sqref="G151:J151">
    <cfRule type="expression" dxfId="78" priority="180">
      <formula>$F$151="D"</formula>
    </cfRule>
  </conditionalFormatting>
  <conditionalFormatting sqref="G152:J152">
    <cfRule type="expression" dxfId="77" priority="27">
      <formula>$F$152="D"</formula>
    </cfRule>
  </conditionalFormatting>
  <conditionalFormatting sqref="G154:J154">
    <cfRule type="expression" dxfId="76" priority="179">
      <formula>$F$154="D"</formula>
    </cfRule>
  </conditionalFormatting>
  <conditionalFormatting sqref="G155:J155">
    <cfRule type="expression" dxfId="75" priority="178">
      <formula>$F$155="D"</formula>
    </cfRule>
  </conditionalFormatting>
  <conditionalFormatting sqref="G156:J156">
    <cfRule type="expression" dxfId="74" priority="177">
      <formula>$F$156="D"</formula>
    </cfRule>
  </conditionalFormatting>
  <conditionalFormatting sqref="G157:J157">
    <cfRule type="expression" dxfId="73" priority="63">
      <formula>$F$157="D"</formula>
    </cfRule>
  </conditionalFormatting>
  <conditionalFormatting sqref="G158:J158">
    <cfRule type="expression" dxfId="72" priority="176">
      <formula>$F$158="D"</formula>
    </cfRule>
  </conditionalFormatting>
  <conditionalFormatting sqref="G159:J159">
    <cfRule type="expression" dxfId="71" priority="175">
      <formula>$F$159="D"</formula>
    </cfRule>
  </conditionalFormatting>
  <conditionalFormatting sqref="G162:J162">
    <cfRule type="expression" dxfId="70" priority="174">
      <formula>$F$162="D"</formula>
    </cfRule>
  </conditionalFormatting>
  <conditionalFormatting sqref="G163:J163">
    <cfRule type="expression" dxfId="69" priority="173">
      <formula>$F$163="D"</formula>
    </cfRule>
  </conditionalFormatting>
  <conditionalFormatting sqref="G164:J164">
    <cfRule type="expression" dxfId="68" priority="172">
      <formula>$F$164="D"</formula>
    </cfRule>
  </conditionalFormatting>
  <conditionalFormatting sqref="G166:J166">
    <cfRule type="expression" dxfId="67" priority="171">
      <formula>$F$166="D"</formula>
    </cfRule>
  </conditionalFormatting>
  <conditionalFormatting sqref="G167:J167">
    <cfRule type="expression" dxfId="66" priority="170">
      <formula>$F$167="D"</formula>
    </cfRule>
  </conditionalFormatting>
  <conditionalFormatting sqref="G168:J168">
    <cfRule type="expression" dxfId="65" priority="169">
      <formula>$F$168="D"</formula>
    </cfRule>
  </conditionalFormatting>
  <conditionalFormatting sqref="G169:J169">
    <cfRule type="expression" dxfId="64" priority="168">
      <formula>$F$169="D"</formula>
    </cfRule>
  </conditionalFormatting>
  <conditionalFormatting sqref="G170:J170">
    <cfRule type="expression" dxfId="63" priority="167">
      <formula>$F$170="D"</formula>
    </cfRule>
  </conditionalFormatting>
  <conditionalFormatting sqref="G171:J171">
    <cfRule type="expression" dxfId="62" priority="166">
      <formula>$F$171="D"</formula>
    </cfRule>
  </conditionalFormatting>
  <conditionalFormatting sqref="G173:J173">
    <cfRule type="expression" dxfId="61" priority="165">
      <formula>$F$173="D"</formula>
    </cfRule>
  </conditionalFormatting>
  <conditionalFormatting sqref="G174:J174">
    <cfRule type="expression" dxfId="60" priority="164">
      <formula>$F$174="D"</formula>
    </cfRule>
  </conditionalFormatting>
  <conditionalFormatting sqref="G176:J176">
    <cfRule type="expression" dxfId="59" priority="163">
      <formula>$F$176="D"</formula>
    </cfRule>
  </conditionalFormatting>
  <conditionalFormatting sqref="G177:J177">
    <cfRule type="expression" dxfId="58" priority="162">
      <formula>$F$177="D"</formula>
    </cfRule>
  </conditionalFormatting>
  <conditionalFormatting sqref="G179:J179">
    <cfRule type="expression" dxfId="57" priority="161">
      <formula>$F$179="D"</formula>
    </cfRule>
  </conditionalFormatting>
  <conditionalFormatting sqref="G180:J180">
    <cfRule type="expression" dxfId="56" priority="160">
      <formula>$F$180="D"</formula>
    </cfRule>
  </conditionalFormatting>
  <conditionalFormatting sqref="G181:J181">
    <cfRule type="expression" dxfId="55" priority="159">
      <formula>$F$181="D"</formula>
    </cfRule>
  </conditionalFormatting>
  <conditionalFormatting sqref="G182:J182">
    <cfRule type="expression" dxfId="54" priority="158">
      <formula>$F$182="D"</formula>
    </cfRule>
  </conditionalFormatting>
  <conditionalFormatting sqref="G183:J183">
    <cfRule type="expression" dxfId="53" priority="48">
      <formula>$F$183="D"</formula>
    </cfRule>
  </conditionalFormatting>
  <conditionalFormatting sqref="G186:J186">
    <cfRule type="expression" dxfId="52" priority="157">
      <formula>$F$186="D"</formula>
    </cfRule>
  </conditionalFormatting>
  <conditionalFormatting sqref="G187:J187">
    <cfRule type="expression" dxfId="51" priority="156">
      <formula>$F$187="D"</formula>
    </cfRule>
  </conditionalFormatting>
  <conditionalFormatting sqref="G188:J188">
    <cfRule type="expression" dxfId="50" priority="155">
      <formula>$F$188="D"</formula>
    </cfRule>
  </conditionalFormatting>
  <conditionalFormatting sqref="G189:J189">
    <cfRule type="expression" dxfId="49" priority="154">
      <formula>$F$189="D"</formula>
    </cfRule>
  </conditionalFormatting>
  <conditionalFormatting sqref="G190:J190">
    <cfRule type="expression" dxfId="48" priority="153">
      <formula>$F$190="D"</formula>
    </cfRule>
  </conditionalFormatting>
  <conditionalFormatting sqref="G191:J191">
    <cfRule type="expression" dxfId="47" priority="152">
      <formula>$F$191="D"</formula>
    </cfRule>
  </conditionalFormatting>
  <conditionalFormatting sqref="G192:J192">
    <cfRule type="expression" dxfId="46" priority="146">
      <formula>$F$192="D"</formula>
    </cfRule>
  </conditionalFormatting>
  <conditionalFormatting sqref="G193:J193">
    <cfRule type="expression" dxfId="45" priority="150">
      <formula>$F$193="D"</formula>
    </cfRule>
  </conditionalFormatting>
  <conditionalFormatting sqref="G194:J194">
    <cfRule type="expression" dxfId="44" priority="149">
      <formula>$F$194="D"</formula>
    </cfRule>
  </conditionalFormatting>
  <conditionalFormatting sqref="G195:J195">
    <cfRule type="expression" dxfId="43" priority="148">
      <formula>$F$195="D"</formula>
    </cfRule>
  </conditionalFormatting>
  <conditionalFormatting sqref="G197:J197">
    <cfRule type="expression" dxfId="42" priority="147">
      <formula>$F$197="D"</formula>
    </cfRule>
  </conditionalFormatting>
  <conditionalFormatting sqref="G198:J198">
    <cfRule type="expression" dxfId="41" priority="151">
      <formula>$F$198="D"</formula>
    </cfRule>
  </conditionalFormatting>
  <conditionalFormatting sqref="G199:J199">
    <cfRule type="expression" dxfId="40" priority="145">
      <formula>$F$199="D"</formula>
    </cfRule>
  </conditionalFormatting>
  <conditionalFormatting sqref="G200:J200">
    <cfRule type="expression" dxfId="39" priority="81">
      <formula>$F$200="D"</formula>
    </cfRule>
  </conditionalFormatting>
  <conditionalFormatting sqref="G201:J201">
    <cfRule type="expression" dxfId="38" priority="1943">
      <formula>$F$201="D"</formula>
    </cfRule>
  </conditionalFormatting>
  <conditionalFormatting sqref="G202:J202">
    <cfRule type="expression" dxfId="37" priority="82">
      <formula>$F$202="D"</formula>
    </cfRule>
  </conditionalFormatting>
  <conditionalFormatting sqref="G203:J203">
    <cfRule type="expression" dxfId="36" priority="143">
      <formula>$F$203="D"</formula>
    </cfRule>
  </conditionalFormatting>
  <conditionalFormatting sqref="G204:J204">
    <cfRule type="expression" dxfId="35" priority="142">
      <formula>$F$204="D"</formula>
    </cfRule>
  </conditionalFormatting>
  <conditionalFormatting sqref="G205:J205">
    <cfRule type="expression" dxfId="34" priority="141">
      <formula>$F$205="D"</formula>
    </cfRule>
  </conditionalFormatting>
  <conditionalFormatting sqref="G206:J206">
    <cfRule type="expression" dxfId="33" priority="140">
      <formula>$F$206="D"</formula>
    </cfRule>
  </conditionalFormatting>
  <conditionalFormatting sqref="G207:J207">
    <cfRule type="expression" dxfId="32" priority="62">
      <formula>$F$207="D"</formula>
    </cfRule>
  </conditionalFormatting>
  <conditionalFormatting sqref="G208:J208">
    <cfRule type="expression" dxfId="31" priority="47">
      <formula>$F$208="D"</formula>
    </cfRule>
  </conditionalFormatting>
  <conditionalFormatting sqref="G210:J210">
    <cfRule type="expression" dxfId="30" priority="139">
      <formula>$F$210="D"</formula>
    </cfRule>
  </conditionalFormatting>
  <conditionalFormatting sqref="G211:J211">
    <cfRule type="expression" dxfId="29" priority="138">
      <formula>$F$211="D"</formula>
    </cfRule>
  </conditionalFormatting>
  <conditionalFormatting sqref="G212:J212">
    <cfRule type="expression" dxfId="28" priority="137">
      <formula>$F$212="D"</formula>
    </cfRule>
  </conditionalFormatting>
  <conditionalFormatting sqref="G213:J213">
    <cfRule type="expression" dxfId="27" priority="136">
      <formula>$F$213="D"</formula>
    </cfRule>
  </conditionalFormatting>
  <conditionalFormatting sqref="G214:J214">
    <cfRule type="expression" dxfId="26" priority="135">
      <formula>$F$214="D"</formula>
    </cfRule>
  </conditionalFormatting>
  <conditionalFormatting sqref="G216:J216">
    <cfRule type="expression" dxfId="25" priority="18">
      <formula>$F$216="D"</formula>
    </cfRule>
  </conditionalFormatting>
  <conditionalFormatting sqref="G217:J217">
    <cfRule type="expression" dxfId="24" priority="132">
      <formula>$F$217="D"</formula>
    </cfRule>
  </conditionalFormatting>
  <conditionalFormatting sqref="G218:J218">
    <cfRule type="expression" dxfId="23" priority="131">
      <formula>$F$218="D"</formula>
    </cfRule>
  </conditionalFormatting>
  <conditionalFormatting sqref="G219:J219">
    <cfRule type="expression" dxfId="22" priority="130">
      <formula>$F$219="D"</formula>
    </cfRule>
  </conditionalFormatting>
  <conditionalFormatting sqref="G220:J220">
    <cfRule type="expression" dxfId="21" priority="129">
      <formula>$F$220="D"</formula>
    </cfRule>
  </conditionalFormatting>
  <conditionalFormatting sqref="G221:J221">
    <cfRule type="expression" dxfId="1" priority="128">
      <formula>$F$221="D"</formula>
    </cfRule>
  </conditionalFormatting>
  <conditionalFormatting sqref="G224:J224">
    <cfRule type="expression" dxfId="20" priority="13">
      <formula>$F$224="D"</formula>
    </cfRule>
  </conditionalFormatting>
  <conditionalFormatting sqref="G225:J225">
    <cfRule type="expression" dxfId="19" priority="12">
      <formula>$F$225="D"</formula>
    </cfRule>
  </conditionalFormatting>
  <conditionalFormatting sqref="G226:J226">
    <cfRule type="expression" dxfId="18" priority="11">
      <formula>$F$226="D"</formula>
    </cfRule>
  </conditionalFormatting>
  <conditionalFormatting sqref="G227:J227">
    <cfRule type="expression" dxfId="17" priority="16">
      <formula>$F$227="D"</formula>
    </cfRule>
  </conditionalFormatting>
  <conditionalFormatting sqref="G228:J228">
    <cfRule type="expression" dxfId="16" priority="10">
      <formula>$F$228="D"</formula>
    </cfRule>
  </conditionalFormatting>
  <conditionalFormatting sqref="G229:J229">
    <cfRule type="expression" dxfId="15" priority="17">
      <formula>$F$229="D"</formula>
    </cfRule>
  </conditionalFormatting>
  <conditionalFormatting sqref="G233:J233">
    <cfRule type="expression" dxfId="14" priority="127">
      <formula>$F$233="D"</formula>
    </cfRule>
  </conditionalFormatting>
  <conditionalFormatting sqref="G234:J234">
    <cfRule type="expression" dxfId="13" priority="126">
      <formula>$F$234="D"</formula>
    </cfRule>
  </conditionalFormatting>
  <conditionalFormatting sqref="G235:J235">
    <cfRule type="expression" dxfId="12" priority="134">
      <formula>$F$235="D"</formula>
    </cfRule>
  </conditionalFormatting>
  <conditionalFormatting sqref="G236:J236">
    <cfRule type="expression" dxfId="11" priority="61">
      <formula>$F$236="D"</formula>
    </cfRule>
  </conditionalFormatting>
  <conditionalFormatting sqref="G237:J237">
    <cfRule type="expression" dxfId="10" priority="125">
      <formula>$F$237="D"</formula>
    </cfRule>
  </conditionalFormatting>
  <conditionalFormatting sqref="G238:J238">
    <cfRule type="expression" dxfId="9" priority="124">
      <formula>$F$238="D"</formula>
    </cfRule>
  </conditionalFormatting>
  <conditionalFormatting sqref="G239:J239">
    <cfRule type="expression" dxfId="8" priority="123">
      <formula>$F$239="D"</formula>
    </cfRule>
  </conditionalFormatting>
  <conditionalFormatting sqref="G240:J240">
    <cfRule type="expression" dxfId="7" priority="122">
      <formula>$F$240="D"</formula>
    </cfRule>
  </conditionalFormatting>
  <conditionalFormatting sqref="G241:J241">
    <cfRule type="expression" dxfId="6" priority="121">
      <formula>$F$241="D"</formula>
    </cfRule>
  </conditionalFormatting>
  <conditionalFormatting sqref="J53">
    <cfRule type="expression" dxfId="5" priority="6">
      <formula>$F$52="D"</formula>
    </cfRule>
  </conditionalFormatting>
  <conditionalFormatting sqref="G230:J230">
    <cfRule type="expression" dxfId="4" priority="4">
      <formula>$F$230="D"</formula>
    </cfRule>
  </conditionalFormatting>
  <conditionalFormatting sqref="G43:J43">
    <cfRule type="expression" dxfId="3" priority="3">
      <formula>$F$43="D"</formula>
    </cfRule>
  </conditionalFormatting>
  <conditionalFormatting sqref="G231:J231 G222:J222">
    <cfRule type="expression" dxfId="2" priority="2">
      <formula>$F$231="D"</formula>
    </cfRule>
  </conditionalFormatting>
  <conditionalFormatting sqref="G222:J222">
    <cfRule type="expression" dxfId="0" priority="1">
      <formula>$F$222="D"</formula>
    </cfRule>
  </conditionalFormatting>
  <hyperlinks>
    <hyperlink ref="A4" r:id="rId1" display="   AAD Connect Deployment" xr:uid="{819B1B4A-8BD7-425E-8E7A-CE8B25ADAF59}"/>
    <hyperlink ref="A5" r:id="rId2" display="      Recommended - Configure Password Hash Synchronisation" xr:uid="{233B6D68-E7F9-4D39-B2BD-74CDCC02B99D}"/>
    <hyperlink ref="A6" r:id="rId3" display="   Microsoft Apps for Enterprise (Office ProPlus)" xr:uid="{3FC1C6D6-899B-491E-8538-06D11A29A654}"/>
    <hyperlink ref="A9" r:id="rId4" display="      SharePoint Migration" xr:uid="{43749DFA-8D5C-4C57-B893-74F98101D71A}"/>
    <hyperlink ref="A10" r:id="rId5" display="      OneDrive Migration" xr:uid="{59FB81D3-14AC-4CFB-B530-0F4902047C72}"/>
    <hyperlink ref="A45" r:id="rId6" display="      Configure Application Consent for Data Access" xr:uid="{4B5EE9B7-D53D-4C6E-8B18-2FFB9269A401}"/>
    <hyperlink ref="A13" r:id="rId7" xr:uid="{1CBA44AD-1365-4F74-B107-7BD457C94FFF}"/>
    <hyperlink ref="A18" r:id="rId8" display="      Preview - Azure Temporary Access Passwords" xr:uid="{35EEA9BC-7040-4E3B-BC0A-410B47053683}"/>
    <hyperlink ref="A14" r:id="rId9" display="Microsoft Entra Conditional Access: Network Asignment" xr:uid="{31D1F059-A802-42FD-B4A3-048FA882CF77}"/>
    <hyperlink ref="A15" r:id="rId10" xr:uid="{0864223C-0958-4140-A0A6-520CCAAAC115}"/>
    <hyperlink ref="A16" r:id="rId11" display="      Azure AD MFA (ZT: Strong Authentication)" xr:uid="{8E8D7DA9-68D2-40A8-BB46-9677A5AA0F52}"/>
    <hyperlink ref="A17" r:id="rId12" xr:uid="{E2279425-2805-4D9D-B6EF-EFD943B4FB29}"/>
    <hyperlink ref="A19" r:id="rId13" location="fido2-security-key-providers" display="      Passwordless Authentication (ZT: Strong Authentication)" xr:uid="{63C8B5F8-0D93-4EB3-84E1-357253F191FF}"/>
    <hyperlink ref="A25" r:id="rId14" display="      Azure AD Conditional Access: Block Legacy Authentication" xr:uid="{3E18A477-7472-4801-AA33-C1DEA008719B}"/>
    <hyperlink ref="A26" r:id="rId15" display="      Azure AD Conditional Access: Policies" xr:uid="{085F3B48-809F-4F7E-8B3E-57A2F806E7B4}"/>
    <hyperlink ref="A27" r:id="rId16" display="      Azure Identity Protection" xr:uid="{3E5316AD-5E9B-4087-9CA5-734F123DD5AD}"/>
    <hyperlink ref="A28" r:id="rId17" display="      Microsoft Cloud App Security (Session Controls)" xr:uid="{989C1BA6-BF78-4130-8576-9C7E929898DE}"/>
    <hyperlink ref="A37" r:id="rId18" display="      Azure AD RBAC Configuration (ZT: Least Privilege)" xr:uid="{2D2546CB-2FA5-4C98-90C4-E8BEFDBAD600}"/>
    <hyperlink ref="A38" r:id="rId19" display="      Azure AD Privileged Identity Management (ZT: Least Privilege)" xr:uid="{4597B3E3-01A9-4961-AA6E-69C5188F7FE1}"/>
    <hyperlink ref="A30" r:id="rId20" location="user-actions" xr:uid="{9D1C98D7-0874-4940-A000-AF237E73D16D}"/>
    <hyperlink ref="A23" r:id="rId21" display="      Suggestion - Enable Azure MFA for On-prem services (RADIUS)" xr:uid="{FADCF8AF-032F-45B7-BD76-54442D8F2072}"/>
    <hyperlink ref="E1" r:id="rId22" xr:uid="{4F200B03-7B16-4FCE-A0F0-F81905FA6373}"/>
    <hyperlink ref="W8" r:id="rId23" xr:uid="{CCD4DA98-52BD-40F6-A980-5FF3C60C0602}"/>
    <hyperlink ref="W4" r:id="rId24" xr:uid="{B0EDC67C-9F35-4BA7-A683-20C288CABB6F}"/>
    <hyperlink ref="W5" r:id="rId25" xr:uid="{9CFF2B70-930D-40EF-8275-EC9CE26D1BB5}"/>
    <hyperlink ref="W9" r:id="rId26" display="SharePoint Admin" xr:uid="{92A9D99E-40EF-487E-ABF0-7343FB872AEC}"/>
    <hyperlink ref="W10" r:id="rId27" display="SharePoint Admin" xr:uid="{234F04C2-65E3-4AF0-BA91-CE5F6F08DF70}"/>
    <hyperlink ref="W45" r:id="rId28" xr:uid="{C0FD98D5-1B67-4D28-90A0-BEA8E5914323}"/>
    <hyperlink ref="W37" r:id="rId29" xr:uid="{C1A9149E-3AE6-47DB-9832-312F852F13A4}"/>
    <hyperlink ref="W13" r:id="rId30" location="security-administrator" xr:uid="{AA789059-A4A0-4461-B112-C00630EB8A4B}"/>
    <hyperlink ref="W18" r:id="rId31" location="create-a-temporary-access-pass" xr:uid="{7D0BA598-3F43-48D8-A3E2-6DA28B6AFE3F}"/>
    <hyperlink ref="W14" r:id="rId32" xr:uid="{D0D621A2-9173-461B-82B0-8E691EA9326F}"/>
    <hyperlink ref="W15" r:id="rId33" xr:uid="{7D12ED45-71F5-40A5-98E4-EEBBD1843092}"/>
    <hyperlink ref="W26" r:id="rId34" xr:uid="{0CD91AEC-E844-4AC7-931A-965E93F8F473}"/>
    <hyperlink ref="W25" r:id="rId35" xr:uid="{C88EE0EB-6414-4717-9226-77FA682C683A}"/>
    <hyperlink ref="W27" r:id="rId36" location="identity-protection" xr:uid="{6898603C-BB37-46C0-B53C-F6DB4FA3879F}"/>
    <hyperlink ref="W28" r:id="rId37" xr:uid="{20D61515-C25E-40CB-82E8-CB5127767A7D}"/>
    <hyperlink ref="W16" r:id="rId38" location="multi-factor-authentication" xr:uid="{8D2D7705-8568-4CD7-B9E3-6CB588101E97}"/>
    <hyperlink ref="W17" r:id="rId39" location="multi-factor-authentication" display="Global Administrator" xr:uid="{76289341-025E-4C72-876E-418DA26A1F3A}"/>
    <hyperlink ref="W19" r:id="rId40" location="security---authentication-methods" xr:uid="{20FD3115-8C62-411A-8C87-30E7838ADFF7}"/>
    <hyperlink ref="W23" r:id="rId41" location="multi-factor-authentication" xr:uid="{558AD5F8-EF94-49C9-902C-EC0946EA273C}"/>
    <hyperlink ref="W38" r:id="rId42" location="privileged-identity-management" xr:uid="{EDE437FF-50CA-4672-8713-A7C74742B8A9}"/>
    <hyperlink ref="W39" r:id="rId43" location="do-i-need-to-be-a-global-admin-to-manage-privileged-access-in-office-365" display="Organisation Management" xr:uid="{68D00B49-D158-4CCB-BC75-C06E2FC8DFB4}"/>
    <hyperlink ref="W30" r:id="rId44" location="multi-factor-authentication" xr:uid="{93381FF8-85CB-48F8-A369-5F5FD55FF8CE}"/>
    <hyperlink ref="W73" r:id="rId45" location="required-permissions" display="Based on requirement" xr:uid="{C782A56B-20B3-4A41-AFFC-AD6074A1C01E}"/>
    <hyperlink ref="W46" r:id="rId46" location="application-administrator" xr:uid="{33C8C11D-1D82-485C-8642-0C878BE74EB1}"/>
    <hyperlink ref="W47" r:id="rId47" location="permissions" display="Intune Service Administrator + " xr:uid="{3B49AEDC-E81B-46F0-961B-5A7365BF5D85}"/>
    <hyperlink ref="W48" r:id="rId48" location="cloud-application-administrator" xr:uid="{978D5B97-5596-4F53-9FD8-1F093247B5CA}"/>
    <hyperlink ref="W57" r:id="rId49" location="cloud-application-administrator" display="Cloud Application Administrator" xr:uid="{FFEEF62A-8FDC-4576-8735-1D5B092A57A1}"/>
    <hyperlink ref="W61" r:id="rId50" location="make-a-group-available-for-user-self-service" xr:uid="{CE78116C-D0B7-4FE2-8A66-585EDCF4B579}"/>
    <hyperlink ref="W62" r:id="rId51" xr:uid="{0E71608D-9533-4449-8B36-9CC6BAF9F192}"/>
    <hyperlink ref="W63" r:id="rId52" location="who-will-create-and-manage-access-reviews" xr:uid="{9E731764-2FFB-4AE1-8220-9FE2D676FFA6}"/>
    <hyperlink ref="W64" r:id="rId53" location="who-will-create-and-manage-access-reviews" xr:uid="{942F6441-79E3-4467-8628-C25FE2AD448F}"/>
    <hyperlink ref="A29" r:id="rId54" display="      Preview - Enable Continous Access Evaluation" xr:uid="{0E40AB9B-5C2B-4E84-9378-022E016536E5}"/>
    <hyperlink ref="W77" r:id="rId55" xr:uid="{58C2B442-D9B3-4D17-9ACF-5720A83D6A1D}"/>
    <hyperlink ref="W78" r:id="rId56" xr:uid="{2C3725F6-0CA6-4521-9CA1-9FCA9A8701EA}"/>
    <hyperlink ref="W79" r:id="rId57" xr:uid="{1052D6A7-E473-4307-988C-A13DFDBA91DB}"/>
    <hyperlink ref="W92" r:id="rId58" display="Intune Administrator" xr:uid="{ED72306E-37A0-470D-8C43-E5E812EEE21F}"/>
    <hyperlink ref="W98" r:id="rId59" location="permissions-and-roles" xr:uid="{5DF2E4C1-7558-4A18-9C06-C54D02D085A8}"/>
    <hyperlink ref="W99" r:id="rId60" location="permissions-and-roles" display="Azure Subcription Manager + Global Admin" xr:uid="{A4C0805B-9D16-438B-A632-7A1EAFCFB9F2}"/>
    <hyperlink ref="W100" r:id="rId61" location="permissions-and-roles" xr:uid="{352EC27B-E340-482C-A1B1-D762A4BB1AE3}"/>
    <hyperlink ref="W101" r:id="rId62" xr:uid="{A6DFAE2D-5C7A-4019-AB4C-C54A89CF4CF3}"/>
    <hyperlink ref="W83" r:id="rId63" xr:uid="{18C99875-7C49-4701-B29B-84C57F015005}"/>
    <hyperlink ref="W84" r:id="rId64" xr:uid="{DB6688D5-01C2-48EA-8630-3C095A16B10F}"/>
    <hyperlink ref="W85" r:id="rId65" xr:uid="{259BEB5C-5581-4EFE-BF8E-EBA13A620E6C}"/>
    <hyperlink ref="W109" r:id="rId66" xr:uid="{B8205DA5-DDB9-4C5A-9199-B943C720ED11}"/>
    <hyperlink ref="W106" r:id="rId67" display="Intune Administrator" xr:uid="{AD76CAD0-5E9C-4B4E-997B-C293AADD257D}"/>
    <hyperlink ref="W108" r:id="rId68" xr:uid="{7B31721F-E327-49E9-94F9-647302E71887}"/>
    <hyperlink ref="W112" r:id="rId69" xr:uid="{7EC5611D-3D78-4EC0-9D9C-D3669AC0AD22}"/>
    <hyperlink ref="W114" r:id="rId70" xr:uid="{FEA7C1A9-2424-42CC-90FC-CC532A953AE5}"/>
    <hyperlink ref="W115" r:id="rId71" xr:uid="{C45BD34C-2AD4-4EB8-B4BE-888ED93CA050}"/>
    <hyperlink ref="W116" r:id="rId72" xr:uid="{6A355324-1874-4912-9056-0CDE1022B09D}"/>
    <hyperlink ref="W117" r:id="rId73" xr:uid="{0F921263-1566-4934-8E5A-1B639B5ED230}"/>
    <hyperlink ref="W118" r:id="rId74" xr:uid="{0C164B8C-98BB-49F0-9E8D-66FDDDF6B445}"/>
    <hyperlink ref="W120" r:id="rId75" xr:uid="{4C7A5078-3DE2-4725-823D-B9F6641D9C8F}"/>
    <hyperlink ref="W121" r:id="rId76" xr:uid="{5779261F-BDEF-4341-BBEC-10836C921EA1}"/>
    <hyperlink ref="W122" r:id="rId77" xr:uid="{2A75BB48-0547-4401-996C-233E99242BDE}"/>
    <hyperlink ref="W119" r:id="rId78" xr:uid="{F744C23C-FF61-4F55-9602-7A5AFB7CF862}"/>
    <hyperlink ref="W113" r:id="rId79" location="role-based-access-control" xr:uid="{126D491D-1CE4-4A83-9A70-47CC62AC1FC4}"/>
    <hyperlink ref="W128" r:id="rId80" location="role-based-access-control" xr:uid="{1D217BC7-11C2-4C5A-92A2-29AD8EA385D7}"/>
    <hyperlink ref="W129" r:id="rId81" location="role-based-access-control" xr:uid="{54EAA3C3-A6AB-4669-A691-A93D4A876FAE}"/>
    <hyperlink ref="W130" r:id="rId82" location="role-based-access-control" xr:uid="{A3F43890-26BF-4810-8554-EA6BEB0616C9}"/>
    <hyperlink ref="W131" r:id="rId83" location="role-based-access-control" xr:uid="{2B96F7F7-445C-4527-88A4-6369A62845AB}"/>
    <hyperlink ref="W138" r:id="rId84" location="required-permissions" xr:uid="{F7068086-9B90-467C-8AFB-27AD538365E2}"/>
    <hyperlink ref="W140" r:id="rId85" location="how-can-i-track-who-in-my-organization-enabled-a-microsoft-defender-plan-in-defender-for-cloud" xr:uid="{5E2BFB65-0BEB-44E8-B815-05D48E3D6BE1}"/>
    <hyperlink ref="W142" r:id="rId86" location="how-can-i-track-who-in-my-organization-enabled-a-microsoft-defender-plan-in-defender-for-cloud" xr:uid="{2FAB8F9E-8109-40E5-AD0B-896A68077F72}"/>
    <hyperlink ref="W143" r:id="rId87" location="how-can-i-track-who-in-my-organization-enabled-a-microsoft-defender-plan-in-defender-for-cloud" xr:uid="{BD612BE1-C6F5-443E-A055-FF6635174A96}"/>
    <hyperlink ref="W144" r:id="rId88" location="how-can-i-track-who-in-my-organization-enabled-a-microsoft-defender-plan-in-defender-for-cloud" xr:uid="{825BCEBF-BB8B-44A4-A717-D305DD7351C3}"/>
    <hyperlink ref="W145" r:id="rId89" location="how-can-i-track-who-in-my-organization-enabled-a-microsoft-defender-plan-in-defender-for-cloud" xr:uid="{AE4EBB55-D01F-45A0-AC98-6C9AC9C45426}"/>
    <hyperlink ref="W146" r:id="rId90" location="how-can-i-track-who-in-my-organization-enabled-a-microsoft-defender-plan-in-defender-for-cloud" xr:uid="{26439DCF-AC30-494A-94F5-169B0F2E0C65}"/>
    <hyperlink ref="W147" r:id="rId91" location="how-can-i-track-who-in-my-organization-enabled-a-microsoft-defender-plan-in-defender-for-cloud" xr:uid="{F0E77AB3-EE82-45D6-91F2-C00AC0B6D44A}"/>
    <hyperlink ref="W148" r:id="rId92" location="how-can-i-track-who-in-my-organization-enabled-a-microsoft-defender-plan-in-defender-for-cloud" xr:uid="{D1975C39-9DFF-4D9D-BC85-7B8F9F59CFAE}"/>
    <hyperlink ref="W162" r:id="rId93" location="what-do-you-need-to-know-before-you-begin" display="Organisation Management, Security Administrator" xr:uid="{F9B913BB-F9D5-4546-8E95-20350499FD78}"/>
    <hyperlink ref="W163" r:id="rId94" location="permissions-required-to-use-microsoft-defender-for-office-365-features" display="Security Administrator" xr:uid="{3310D0B2-AC1E-4A0C-8FA4-CB9A89BB6783}"/>
    <hyperlink ref="W166" r:id="rId95" location="what-do-you-need-to-know-before-you-begin" display="Organisation Management, Security Administrator" xr:uid="{6D9CA7C6-7088-426F-B4DC-E96BA3ED4565}"/>
    <hyperlink ref="W167" r:id="rId96" location="what-do-you-need-to-know-before-you-begin" xr:uid="{12F96D0C-3163-4340-9AC2-C84589EA13EE}"/>
    <hyperlink ref="W168" r:id="rId97" location="steps-to-create-enable-and-disable-dkim-from-microsoft-365-defender-portal" display="Organisation Management, Security Administrator" xr:uid="{DD8A4A9B-AA3B-47AF-A7C3-0A1895F49882}"/>
    <hyperlink ref="W169" r:id="rId98" xr:uid="{25E94746-66FB-4143-98E0-BF93E21EF738}"/>
    <hyperlink ref="W170" r:id="rId99" xr:uid="{5C75FB23-EBF7-49A8-924E-C3F2286F2D8A}"/>
    <hyperlink ref="W171" r:id="rId100" xr:uid="{714D4F7E-648A-43E0-9838-8BABFB9AC0D5}"/>
    <hyperlink ref="W174" r:id="rId101" display="Teans Adninistrator" xr:uid="{B3DD94D6-C684-445C-AA8A-0BF459784D8E}"/>
    <hyperlink ref="W173" r:id="rId102" display="Teans Adninistrator" xr:uid="{979AD5E5-765F-4D8E-8843-20269F96F328}"/>
    <hyperlink ref="W176" r:id="rId103" xr:uid="{16413923-EC42-41D0-9C1F-66E39B3F22B7}"/>
    <hyperlink ref="W177" r:id="rId104" location="required-permissions-for-the-microsoft-365-defender-experience" display="Security Administrator, Complaince Administrator" xr:uid="{7ED5C27B-11B3-4F4E-ACA3-4D7831CDC862}"/>
    <hyperlink ref="W179" r:id="rId105" xr:uid="{413C94C6-C67C-44DB-9F64-6CD73AC7E064}"/>
    <hyperlink ref="W182" r:id="rId106" xr:uid="{783E6911-8868-4177-BC9E-9C8FC59D9BC6}"/>
    <hyperlink ref="W211" r:id="rId107" xr:uid="{7AFD9A17-9924-42C3-AAFB-97F38E95A718}"/>
    <hyperlink ref="W187" r:id="rId108" location="azure-roles-in-the-microsoft-365-compliance-center" xr:uid="{F3B1DCF6-E31D-4F70-878D-410A4F9F0F43}"/>
    <hyperlink ref="W188" r:id="rId109" location="azure-roles-in-the-microsoft-365-compliance-center" xr:uid="{5DC65633-BCEC-4277-BC90-5BC30C3D461D}"/>
    <hyperlink ref="W190" r:id="rId110" location="permissions" xr:uid="{D0FD6690-C409-457B-BE31-2F7A4D4D3F6E}"/>
    <hyperlink ref="W191" r:id="rId111" location="required-licenses-and-permissions" xr:uid="{92AF835C-6817-4632-B486-FE7D7F0C338B}"/>
    <hyperlink ref="W189" r:id="rId112" location="compliance-data-administrator" xr:uid="{565B2354-561D-4B8A-9D95-85660A4A273F}"/>
    <hyperlink ref="W193" r:id="rId113" location="cloud-application-administrator" xr:uid="{3CB0D632-2E56-4D63-B16B-BB2F3EE0E605}"/>
    <hyperlink ref="W194" r:id="rId114" location="cloud-application-administrator" xr:uid="{FE23A14E-DB4D-4129-81FA-9757A5EC4F09}"/>
    <hyperlink ref="W197" r:id="rId115" location="change-the-organization-level-external-sharing-setting" xr:uid="{7F35BCDB-4820-41F5-B6B9-C0F279789BAE}"/>
    <hyperlink ref="W192" r:id="rId116" location="office-365-and-azure-ad-roles-with-access-to-defender-for-cloud-apps" xr:uid="{B204374D-42AC-4A44-8F44-DAEFE7AA988B}"/>
    <hyperlink ref="W199" r:id="rId117" location="role-groups-in-the-security--compliance-center" xr:uid="{5EE5E91F-3415-4B91-B384-8AB27A4F78EA}"/>
    <hyperlink ref="W127" r:id="rId118" xr:uid="{C41BB0CD-1544-4DEF-8817-63D800974EA4}"/>
    <hyperlink ref="A3" r:id="rId119" display="   Identity object remediation" xr:uid="{4B74BFB8-3A8D-4AEF-95E6-C31C0EA5CFCD}"/>
    <hyperlink ref="W137" r:id="rId120" location="all" display="Resourse group permission: Micrsoft.hybridCompute/machines/write" xr:uid="{B04A8451-FA16-4867-8DB6-158BE3019DC6}"/>
    <hyperlink ref="W141" r:id="rId121" location="how-can-i-track-who-in-my-organization-enabled-a-microsoft-defender-plan-in-defender-for-cloud" xr:uid="{2A5059FF-7FD1-4208-AB3B-DEBC9A921B70}"/>
    <hyperlink ref="W212" r:id="rId122" xr:uid="{4862B155-B253-4D17-A914-3F8C33ED0F51}"/>
    <hyperlink ref="W221" r:id="rId123" xr:uid="{EBE39B9E-1FCD-44C7-A025-DECDCD2F4B01}"/>
    <hyperlink ref="W237" r:id="rId124" location="azure-policy-and-azure-rbac" xr:uid="{F6E41655-E104-4896-8856-34BDE993D78A}"/>
    <hyperlink ref="W217" r:id="rId125" display="Based on role" xr:uid="{55E35AD0-0E3E-4F3E-B99C-11159E85A655}"/>
    <hyperlink ref="W216" r:id="rId126" display="Based on role" xr:uid="{A6FF6281-B650-4502-83BB-F877F538D03A}"/>
    <hyperlink ref="W210" r:id="rId127" xr:uid="{07C5E7B9-A166-45A2-BF76-F7F03353FF11}"/>
    <hyperlink ref="W198" r:id="rId128" location="office-365-and-azure-ad-roles-with-access-to-defender-for-cloud-apps" xr:uid="{BFCF7652-6B5C-40AE-9495-9ADE390D8B22}"/>
    <hyperlink ref="V8" r:id="rId129" xr:uid="{3574A4E6-B7D6-4B5D-BDF5-53B06F1130AF}"/>
    <hyperlink ref="V9" r:id="rId130" xr:uid="{A3BACDA0-5CCA-4680-B695-D5B8ABB821EB}"/>
    <hyperlink ref="V10" r:id="rId131" xr:uid="{314DD437-4764-4DFA-9852-6D3D4B39C60A}"/>
    <hyperlink ref="V45" r:id="rId132" xr:uid="{65979106-281C-4277-BB9B-4059D470EE79}"/>
    <hyperlink ref="V13" r:id="rId133" xr:uid="{F70A15F7-FB0E-424D-ACC7-BF64118B516D}"/>
    <hyperlink ref="V18" r:id="rId134" xr:uid="{875886DC-6E82-4620-85EF-A2EB36179513}"/>
    <hyperlink ref="V14" r:id="rId135" xr:uid="{79B4286B-253F-4E65-B581-C5ED276F5B6B}"/>
    <hyperlink ref="V15" r:id="rId136" xr:uid="{8C762DB6-0C3E-4BF4-9A8E-917B564D4A04}"/>
    <hyperlink ref="V16" r:id="rId137" xr:uid="{DE858DE1-26B5-499E-816A-D8CDF15A213C}"/>
    <hyperlink ref="V17" r:id="rId138" xr:uid="{E3BE921D-7F54-41A0-9BC8-CCEFF260C976}"/>
    <hyperlink ref="V19" r:id="rId139" xr:uid="{18768378-98C4-4094-BEEE-6C69AB98B106}"/>
    <hyperlink ref="V25" r:id="rId140" xr:uid="{CBB58AEF-4DB6-4B8F-8AB5-8A54F91C60C8}"/>
    <hyperlink ref="V26" r:id="rId141" xr:uid="{AE0A0F94-472B-4FC9-8894-E710F4B339FD}"/>
    <hyperlink ref="V27" r:id="rId142" xr:uid="{89F8CF04-2131-44C9-B5CA-08B4FEEECE28}"/>
    <hyperlink ref="V29" r:id="rId143" xr:uid="{73CE3087-6BFA-444E-B7D2-2E96FB496635}"/>
    <hyperlink ref="V30" r:id="rId144" xr:uid="{483C182F-89D4-46A6-A920-21654AD46DC3}"/>
    <hyperlink ref="V38" r:id="rId145" xr:uid="{FB8F90E8-203C-4DB7-9CC2-ED2973A1B837}"/>
    <hyperlink ref="V39" r:id="rId146" xr:uid="{1CD4806E-1FEA-40B2-AD79-6E8D1A6B8A08}"/>
    <hyperlink ref="V46" r:id="rId147" xr:uid="{29A3ADBF-1CEC-4EBA-B888-B640E5A9EF83}"/>
    <hyperlink ref="V48" r:id="rId148" xr:uid="{9F8BDCFE-AFD4-4478-B5A9-1179ABC68D5A}"/>
    <hyperlink ref="V57" r:id="rId149" xr:uid="{AD84861F-9396-44C5-9947-024D8D7433CF}"/>
    <hyperlink ref="V60" r:id="rId150" xr:uid="{48B508BD-7383-46A8-B858-7B0EC01D53C8}"/>
    <hyperlink ref="V61" r:id="rId151" xr:uid="{6F70C181-0048-42F6-8321-51BFD2B1B11A}"/>
    <hyperlink ref="V62" r:id="rId152" xr:uid="{32EE13DB-89EB-4E4E-9E95-24B91F0925E7}"/>
    <hyperlink ref="V63" r:id="rId153" xr:uid="{8DC4E27E-8CB1-4F4F-8A94-085F1C66EDF1}"/>
    <hyperlink ref="V64" r:id="rId154" xr:uid="{29913DA4-4731-41F7-9DBB-1C7E4FCD14AC}"/>
    <hyperlink ref="V73" r:id="rId155" xr:uid="{ABD68CEC-6A29-466B-84C0-17AE3D74B5B5}"/>
    <hyperlink ref="V99" r:id="rId156" xr:uid="{D16CA242-63E7-4AE5-A01D-AF4CE87808CE}"/>
    <hyperlink ref="V113" r:id="rId157" xr:uid="{E521F32C-9FE8-4344-89BE-B169EE478AF9}"/>
    <hyperlink ref="V119" r:id="rId158" xr:uid="{79412594-015A-4852-BD5B-53CA2A37BBAA}"/>
    <hyperlink ref="V127" r:id="rId159" xr:uid="{933370FF-83C1-47B3-823B-26011D2DD299}"/>
    <hyperlink ref="V128" r:id="rId160" xr:uid="{CCE26200-511A-450B-9E48-B45F653AC567}"/>
    <hyperlink ref="V129" r:id="rId161" xr:uid="{ECC4B8A3-685B-4B12-8E99-4996E8D63E75}"/>
    <hyperlink ref="V130" r:id="rId162" xr:uid="{7CFDC545-880E-4C3E-B224-5D47003E4F60}"/>
    <hyperlink ref="V131" r:id="rId163" xr:uid="{4F9A65DD-3807-4652-A834-E3ACB5DF4703}"/>
    <hyperlink ref="V137" r:id="rId164" xr:uid="{AA15A9EA-D69D-4E3C-A99F-46728574A8BD}"/>
    <hyperlink ref="V138" r:id="rId165" xr:uid="{40FFE1F6-53A0-4AA7-9C5B-E788629D5963}"/>
    <hyperlink ref="V140" r:id="rId166" xr:uid="{E13441A1-F630-4904-BCE7-988058647EE4}"/>
    <hyperlink ref="V141" r:id="rId167" xr:uid="{2A75ABEA-0132-417F-9D3D-101AE3B5E335}"/>
    <hyperlink ref="V142" r:id="rId168" xr:uid="{6C40967E-9101-4AD3-A3C6-3D4D5BC72C45}"/>
    <hyperlink ref="V143" r:id="rId169" xr:uid="{F390EE43-280F-4EEA-A7AE-ACD2CD261F4B}"/>
    <hyperlink ref="V144" r:id="rId170" xr:uid="{A6366B5B-EE82-49E1-875B-28B44DFA3A0F}"/>
    <hyperlink ref="V145" r:id="rId171" xr:uid="{C95E672E-37CA-44A0-AEB5-0E35D3EC32E4}"/>
    <hyperlink ref="V146" r:id="rId172" xr:uid="{96871EDD-BAAA-4428-8906-7D0BBEC74A06}"/>
    <hyperlink ref="V147" r:id="rId173" xr:uid="{DEB72A2A-DD3A-4E2D-B909-A0475355CF0C}"/>
    <hyperlink ref="V148" r:id="rId174" xr:uid="{03B0B228-620E-4E34-9AF9-66EFCED771CF}"/>
    <hyperlink ref="V149" r:id="rId175" xr:uid="{F50AD86B-DA48-419C-9BD6-E4E37FC337F6}"/>
    <hyperlink ref="V151" r:id="rId176" xr:uid="{D2320FAD-B3AB-4F07-8FDB-8EC0E310552A}"/>
    <hyperlink ref="V154" r:id="rId177" xr:uid="{AA6AD328-3343-4E14-BA73-1A836CB444DA}"/>
    <hyperlink ref="V155" r:id="rId178" xr:uid="{5B53502B-3300-4C34-A364-775F4E3D4396}"/>
    <hyperlink ref="V156" r:id="rId179" xr:uid="{6D31681B-84BE-43A2-BAC8-F044CFA3E6F3}"/>
    <hyperlink ref="V158" r:id="rId180" xr:uid="{FA89C4FF-ABB8-49DD-B389-139E79EF3A8B}"/>
    <hyperlink ref="V159" r:id="rId181" xr:uid="{B84B9F69-EEF1-4922-8A14-B2DED7AEF429}"/>
    <hyperlink ref="V162" r:id="rId182" xr:uid="{A95AA804-F55C-45E6-8607-27E83DE8872D}"/>
    <hyperlink ref="V163" r:id="rId183" xr:uid="{22D1F62B-7503-4A68-95D3-1BC3FDC02CD8}"/>
    <hyperlink ref="V164" r:id="rId184" xr:uid="{C7B40B98-9575-4854-8E83-385F8DE4FA08}"/>
    <hyperlink ref="V166" r:id="rId185" xr:uid="{2357CF21-1BFF-4249-AFE7-8DDD68654E3A}"/>
    <hyperlink ref="V167" r:id="rId186" xr:uid="{60647BE2-09F4-4544-A2C2-748BE4B7C692}"/>
    <hyperlink ref="V168" r:id="rId187" xr:uid="{3CC13007-6B72-4A51-8302-E088937DFAAD}"/>
    <hyperlink ref="V173" r:id="rId188" xr:uid="{40495047-A449-467A-A5D9-613EFF1D9549}"/>
    <hyperlink ref="V174" r:id="rId189" xr:uid="{90126873-C31A-4C42-8372-3A683C6F5AFD}"/>
    <hyperlink ref="V179" r:id="rId190" xr:uid="{049ECC2B-F425-47BE-B905-42A7347E4486}"/>
    <hyperlink ref="V218" r:id="rId191" xr:uid="{777B2A31-430D-452F-9520-6ABB1AAE1FB5}"/>
    <hyperlink ref="V221" r:id="rId192" xr:uid="{A311B5C0-9096-4373-8396-B4E8FDF156EB}"/>
    <hyperlink ref="V197" r:id="rId193" xr:uid="{212EB4F7-DA31-4ACF-8BA1-9E5D945AED48}"/>
    <hyperlink ref="A41" r:id="rId194" xr:uid="{0E9B1CD9-F5CC-4AB6-99E6-8EA66BCB3F0C}"/>
    <hyperlink ref="A234" r:id="rId195" display="      Microsoft Purview Communication Compliance" xr:uid="{11604DD8-8662-4689-A7ED-CEF8DB5E5C2F}"/>
    <hyperlink ref="A238" r:id="rId196" display="      Customer Lockbox" xr:uid="{AD3F275C-C170-4CF5-B96E-15668AD232E6}"/>
    <hyperlink ref="A239" r:id="rId197" display="      Microsoft Purview Customer Key" xr:uid="{2BF423A0-A814-4D53-9FAA-B36DE80EBD04}"/>
    <hyperlink ref="A237" r:id="rId198" display="      Azure Policy" xr:uid="{D0D5379B-F609-498B-A525-32B623C5FC39}"/>
    <hyperlink ref="A221" r:id="rId199" display="      Azure Monitor" xr:uid="{ADDF6F6A-AA4F-495B-AAEF-A55381E8C33D}"/>
    <hyperlink ref="A212" r:id="rId200" display="      Microsoft Purview Data Connectors" xr:uid="{5639A8B2-98AF-47A5-A539-6177FECA2F03}"/>
    <hyperlink ref="A210" r:id="rId201" display="      Microsoft Purview Data Mapping" xr:uid="{DA41FD0A-7535-42A6-8194-603244C38061}"/>
    <hyperlink ref="A211" r:id="rId202" display="      Microsoft Purview Data Catalouge" xr:uid="{9661F142-B49C-4136-A054-C159D044334E}"/>
    <hyperlink ref="A241" r:id="rId203" display="      Microsoft Purview Information Barriers" xr:uid="{48FDD94B-A4ED-4177-8EF4-698B3C9378B2}"/>
    <hyperlink ref="A141" r:id="rId204" display="      Microsoft Defender for Servers" xr:uid="{D0F88071-C922-4B29-99D6-6DCC227B9E74}"/>
    <hyperlink ref="A151" r:id="rId205" display="      Microsoft Defender for IoT" xr:uid="{7B4696D8-81C9-4CE0-B18F-7A1AF2BECF88}"/>
    <hyperlink ref="A159" r:id="rId206" display="      Azure Bastion" xr:uid="{97E0E6C8-F28C-4E7A-A2EC-A88F0693CE54}"/>
    <hyperlink ref="A158" r:id="rId207" display="      Azure Front Door" xr:uid="{1B21EC45-7530-471B-BD1C-89CC78A25D21}"/>
    <hyperlink ref="A156" r:id="rId208" display="      Azure Web Application Firewall" xr:uid="{8A6BE13E-00A5-453A-B177-FEDDBF723C71}"/>
    <hyperlink ref="A154" r:id="rId209" display="      Azure Firewall" xr:uid="{913B48E4-517C-416A-B678-251AC8BC57CE}"/>
    <hyperlink ref="A137" r:id="rId210" display="      Azure Arc" xr:uid="{B4AC4235-0041-4FFF-9383-E5B619E72E3E}"/>
    <hyperlink ref="A155" r:id="rId211" display="      Azure DDoS Protection (Standard)" xr:uid="{26A98869-FECA-42A5-8CE6-5B771CC9B1C2}"/>
    <hyperlink ref="A205" r:id="rId212" display="      On-premises DLP" xr:uid="{543A6BDC-9990-4503-906A-6B46CAE4ACC5}"/>
    <hyperlink ref="A204" r:id="rId213" display="      Endpoint DLP" xr:uid="{95A97248-34FE-4BC1-AF6F-D759A85E1634}"/>
    <hyperlink ref="A235" r:id="rId214" display="      Microsoft Priva" xr:uid="{4C595AAC-B51D-45D6-8A2F-19F4F0BB94C6}"/>
    <hyperlink ref="A213" r:id="rId215" display="      Information Governance Retention Labelling" xr:uid="{C4E7D673-4082-4292-8CB9-33C4A2A18608}"/>
    <hyperlink ref="A127" r:id="rId216" display="      Microsoft Threat Experts - Target Response Notifications" xr:uid="{7D39FE4E-75AD-4400-B176-B51B91E156F9}"/>
    <hyperlink ref="A138" r:id="rId217" display="      Process - Assess Foundation CSPM Capabilites" xr:uid="{FACD3AA7-9B00-4093-84D0-D0B51A963BAF}"/>
    <hyperlink ref="A220" r:id="rId218" display="      Advanced Auditing" xr:uid="{D8242025-688A-453D-A060-B1D13871296A}"/>
    <hyperlink ref="A219" r:id="rId219" display="      Enable Audit Logging (unified audit log)" xr:uid="{88CFCBB7-1D97-4FE2-ADAF-9EA02EBFCB34}"/>
    <hyperlink ref="A218" r:id="rId220" display="      Risky Sign-ins" xr:uid="{8897C7DC-AA25-4A72-8AC4-B7A29F912177}"/>
    <hyperlink ref="A240" r:id="rId221" display="      Microsoft Purview Double Key Encryption" xr:uid="{E057784E-7227-4646-9FC5-68E704DBAE28}"/>
    <hyperlink ref="A217" r:id="rId222" display="      Advanced eDiscovery" xr:uid="{C802DA36-D24A-47C8-9197-A31933678CEB}"/>
    <hyperlink ref="A214" r:id="rId223" display="      Records Management" xr:uid="{24AADC1E-F504-4ADB-BC9E-6A824C222C8A}"/>
    <hyperlink ref="A216" r:id="rId224" display="      Compliance Archiving and eDiscovery" xr:uid="{07432C2C-E9A0-4FD5-89D7-A72C635310BC}"/>
    <hyperlink ref="A198" r:id="rId225" display="      Microsoft Defender for Cloud Apps (Data Governance)" xr:uid="{6BD54DD9-31EA-4AAF-BFD9-36701C45A2F6}"/>
    <hyperlink ref="A206" r:id="rId226" display="      Insider Risk Management" xr:uid="{003F44E3-7183-4030-B207-8501D618E667}"/>
    <hyperlink ref="A203" r:id="rId227" display="      Teams Data Loss Prevention" xr:uid="{40E65E43-FF5A-464D-B494-EF8C10A7BF05}"/>
    <hyperlink ref="A201" r:id="rId228" display="      Office Message Encryption v2" xr:uid="{503AE67F-A8F6-4A5A-B664-4FF8AAD1E5C3}"/>
    <hyperlink ref="A199" r:id="rId229" display="      Office 365 Data Loss Prevention" xr:uid="{78C0F084-EB3C-47C0-9A88-2B9B13DEC09C}"/>
    <hyperlink ref="A192" r:id="rId230" display="      Microsoft Defender for Cloud Apps (Shadow IT)" xr:uid="{DAAF25E6-9B27-4B02-85A7-CF0E259A2A88}"/>
    <hyperlink ref="A197" r:id="rId231" display="      Process - External Sharing Policies" xr:uid="{96F0FFB2-B368-4752-9A22-0D7AF558C323}"/>
    <hyperlink ref="A194" r:id="rId232" display="      Unifed Labelling Scanner - classify/label/protect unstructured file data" xr:uid="{92E0EF25-303A-47EA-B11C-A10CAEBEE5E5}"/>
    <hyperlink ref="A187" r:id="rId233" display="      Define Sensitive Information Types" xr:uid="{D9245478-A01F-4A4F-A1D6-1A608096DDD4}"/>
    <hyperlink ref="A193" r:id="rId234" display="      Unifed Labelling Scanner - Discovery Only" xr:uid="{62762D66-E337-428A-88CB-D6473ED44706}"/>
    <hyperlink ref="A191" r:id="rId235" display="      Advanced Classification - Exact Data Match" xr:uid="{59696A0F-49C5-4643-8364-9F480F63851C}"/>
    <hyperlink ref="A190" r:id="rId236" display="      Advanced Classification - Trainable Classifiers" xr:uid="{C4424D78-BF31-47EE-8109-73FD126F930A}"/>
    <hyperlink ref="A189" r:id="rId237" display="      Microsoft Information Protection Auto Labelling conditions" xr:uid="{A97EAF83-F59F-4F9E-A647-576D9432862D}"/>
    <hyperlink ref="A188" r:id="rId238" display="      Microsoft Information Protection manual senstive labelling" xr:uid="{57D4301E-2AF8-427C-84D5-71604B95E364}"/>
    <hyperlink ref="A182" r:id="rId239" display="   Azure Sentinel" xr:uid="{390C3A77-141A-4A12-88A8-990A8F5A60AB}"/>
    <hyperlink ref="A179" r:id="rId240" xr:uid="{A933B5E1-6F7C-4F30-8CEE-F99E8FEE0DA1}"/>
    <hyperlink ref="A177" r:id="rId241" display="      Microsoft Defender for Cloud Apps (Threat Protection)" xr:uid="{E3F0BFB2-B793-413A-98C0-23B4BC0822B5}"/>
    <hyperlink ref="A176" r:id="rId242" display="      Defender for Identity" xr:uid="{414A630F-1182-4043-B1C7-CB61F77CE48C}"/>
    <hyperlink ref="A174" r:id="rId243" display="         Configure Teams Guest Access" xr:uid="{69517624-6ECE-4F21-8174-C3A49780D9BD}"/>
    <hyperlink ref="A173" r:id="rId244" display="         Configure Teams External Access (Federation)" xr:uid="{735CD1CC-2974-490D-A66D-27CC0C63262A}"/>
    <hyperlink ref="A171" r:id="rId245" location=":~:text=To%20reduce%20your%20risk%20from%20malware%20that%20may,blocking.%20This%20article%20describes%20how%20to%20do%20this." display="         Configure transport rules to block known Ransomware file types" xr:uid="{9356525E-3BB3-4AF9-873A-EBBA9F3B5595}"/>
    <hyperlink ref="A170" r:id="rId246" display="         Block Client Forwarding rules" xr:uid="{0EA1D97C-6BE9-4DA5-A1A2-1D5E55A1424D}"/>
    <hyperlink ref="A169" r:id="rId247" location=":~:text=Use%20the%20Exchange%20admin%20center%20to%20change%20a,sharing%20level%20for%20calendars%20...%20More%20items%20" xr:uid="{8A8701A3-521E-4FEA-848D-BEA377F63BC5}"/>
    <hyperlink ref="A168" r:id="rId248" display="         Secure External Mailflow (TLS, DKIM, DMARC, SPF)" xr:uid="{C7612123-9EE1-4A3C-A4E6-56B5E6E704DF}"/>
    <hyperlink ref="A167" r:id="rId249" display="         Attack Simulator (v2)" xr:uid="{A4B55896-328B-4B89-86BB-F90AF916002F}"/>
    <hyperlink ref="A166" r:id="rId250" display="         Exchange Online Protection" xr:uid="{E301D06D-867E-44CC-8261-9F98FB0A60CA}"/>
    <hyperlink ref="A163" r:id="rId251" display="         Defender for Office 365" xr:uid="{BE0D1A07-9251-4AF8-8FB2-26381A446905}"/>
    <hyperlink ref="A162" r:id="rId252" display="         Configure Antimalware Protection (E3)" xr:uid="{1A2B06B4-33E3-4234-8D36-C4FC546FD09D}"/>
    <hyperlink ref="A149" r:id="rId253" display="      Microsoft Defender for Open-Source Relational Databases" xr:uid="{9F424300-472B-4D18-832E-1C1A019CF7E7}"/>
    <hyperlink ref="A147" r:id="rId254" display="      Microsoft Defender for DNS" xr:uid="{AD6340E6-FF20-4F21-BFA5-D7D4104E28BE}"/>
    <hyperlink ref="A146" r:id="rId255" display="      Microsoft Defender for Resource Manager" xr:uid="{734E7565-C972-48E4-ADA3-C799407EA067}"/>
    <hyperlink ref="A145" r:id="rId256" display="      Microsoft Defender for Key Vault" xr:uid="{FB9C62FC-81A4-4CC4-A717-CFDBE6288F65}"/>
    <hyperlink ref="A144" r:id="rId257" display="      Microsoft Defender for Containers" xr:uid="{83E79BE2-2640-4D8A-8BE1-F92A27DE7377}"/>
    <hyperlink ref="A143" r:id="rId258" display="      Microsoft Defender for SQL" xr:uid="{286EFCEE-0236-4B25-B314-2F25416841C3}"/>
    <hyperlink ref="A142" r:id="rId259" display="      Microsoft Defender for Storage" xr:uid="{58E0F936-FBC4-40F8-BB14-F70E9E366975}"/>
    <hyperlink ref="A148" r:id="rId260" display="      Microsoft Defender for App Service" xr:uid="{3559B3F2-FBD5-4AAE-8826-A235515AE07D}"/>
    <hyperlink ref="A140" r:id="rId261" display="      Microsoft Defender for Servers" xr:uid="{36B98B0A-FCB7-415B-B293-0CADD84F10C4}"/>
    <hyperlink ref="A131" r:id="rId262" location=":~:text=%20Deploy%20Microsoft%20Defender%20for%20Endpoint%20on%20iOS,on%20the%20device%2C%20you%20will%20see...%20More%20" display="      MDE for iOS" xr:uid="{A802AB0D-4B18-485B-A044-0B6BD510081B}"/>
    <hyperlink ref="A130" r:id="rId263" location=":~:text=Add%20Microsoft%20Defender%20for%20Endpoint%20on%20Android%20as,on%20Defender%20for%20Endpoint.%20...%20More%20items...%20" display="      MDE for Android" xr:uid="{9925983A-F435-498E-83A8-DD1C246E7E6B}"/>
    <hyperlink ref="A129" r:id="rId264" display="      MDE for Mac OS" xr:uid="{32966204-DE06-42D4-9EB3-78B11F0CE874}"/>
    <hyperlink ref="A128" r:id="rId265" display="      MDE for Windows 10" xr:uid="{8233B8DE-B0BB-4701-B1D4-ED66E1A28FA3}"/>
    <hyperlink ref="A123" r:id="rId266" display="   Windows 365" xr:uid="{6F925C92-BC16-4353-817A-BF73458566B8}"/>
    <hyperlink ref="A108" r:id="rId267" display="      Consideration - Desktop App Assure" xr:uid="{A93F9921-D4C8-4E7A-8AF4-043BEBE655D2}"/>
    <hyperlink ref="A92" r:id="rId268" display="      Remote Help" xr:uid="{B91E0196-93C7-45F0-8C1D-BEC124BF4313}"/>
    <hyperlink ref="A107" r:id="rId269" display="      Consideration - Windows Autopatch" xr:uid="{FEC68BD4-503A-4802-89E7-09D2606E5809}"/>
    <hyperlink ref="A119" r:id="rId270" display="         Web Content Filtering (MDE-MDCA)" xr:uid="{9964D8CD-6F04-4458-894C-CC2500F2B04D}"/>
    <hyperlink ref="A118" r:id="rId271" display="         Microsoft Defender Application Guard - Edge (for Admins)" xr:uid="{F1837738-87D9-43D7-A725-55572756B248}"/>
    <hyperlink ref="A117" r:id="rId272" display="         Microsoft Defender Application Control (Code Integrity)" xr:uid="{E39BA3D0-37FB-4ACC-9914-69D4B3E27A7C}"/>
    <hyperlink ref="A122" r:id="rId273" display="         BitLocker" xr:uid="{5602D25E-9510-4529-ABE2-8F8AC4750A99}"/>
    <hyperlink ref="A121" r:id="rId274" display="         Windows Firewall (Advanced Configuration)" xr:uid="{B6E87F41-B95B-41EF-BBBD-88479E9CD798}"/>
    <hyperlink ref="A116" r:id="rId275" display="         Windows Defender Exploit Guard" xr:uid="{1346EBFE-47A3-4212-8CEE-E580C3C63582}"/>
    <hyperlink ref="A115" r:id="rId276" display="         Windows Defender System Guard" xr:uid="{6C1A7CC0-0515-4F0A-8579-92E31CDF4A07}"/>
    <hyperlink ref="A114" r:id="rId277" display="         Windows Defender Credential Guard" xr:uid="{B7FEEAB9-601C-4664-ABAD-7E29FBB71055}"/>
    <hyperlink ref="A113" r:id="rId278" display="         Microsoft Defender for Endpoints Plan 1" xr:uid="{21A275D8-6C2A-4F1E-A2C5-D5E65E066723}"/>
    <hyperlink ref="A112" r:id="rId279" display="         Windows Hello" xr:uid="{8BF01421-E704-40BD-A6EA-4446C6023CC2}"/>
    <hyperlink ref="A106" r:id="rId280" display="      Suggestion - Windows 10 Evergreen Plan (updates)" xr:uid="{6FD20C13-5B4E-427F-9097-44345B64480B}"/>
    <hyperlink ref="A105" r:id="rId281" display="      Windows 10 Deployment" xr:uid="{14917D60-F464-409A-B788-A9EBDAF76EA1}"/>
    <hyperlink ref="A109" r:id="rId282" display="   AutoPilot Configuration" xr:uid="{12A75FE8-A27F-457C-A6A8-CC2312A34B51}"/>
    <hyperlink ref="A85" r:id="rId283" display="      MAM BYOD Policies (iOS Android)" xr:uid="{D5926B5C-C2D3-421A-A61A-B724A6811338}"/>
    <hyperlink ref="A84" r:id="rId284" display="      MDM BYOD Policies (iOS Android)" xr:uid="{9CB0B039-C3C0-4B0E-8FA0-B1C2A21A4221}"/>
    <hyperlink ref="A83" r:id="rId285" location=":~:text=Step%201%3A%20Create%20device%20categories%20on%20the%20Intune,the%20new%20category%20in%20the%20list%20of%20categories." display="      Suggestion - Intune Categories" xr:uid="{7B5F018E-2CB6-4EB6-9F0F-A2E13A8C3939}"/>
    <hyperlink ref="A101" r:id="rId286" display="      Suggestion - Migrate Apps to Intune" xr:uid="{598C7CC9-E006-4FC1-A8DD-5B1ADCCBE0EC}"/>
    <hyperlink ref="A100" r:id="rId287" display="      Co-Management Configuration" xr:uid="{CBF5B08B-FB66-451F-AF56-B8B6A38F0BB1}"/>
    <hyperlink ref="A99" r:id="rId288" display="      ConfigMgr Cloud Management Gateway (MGR)" xr:uid="{7AF8A727-A871-4E25-BFFC-1DBE70496DAA}"/>
    <hyperlink ref="A98" r:id="rId289" display="      ConfigMgr Update to current branch" xr:uid="{5AE7E03F-B682-4154-8252-030D8B04ECA5}"/>
    <hyperlink ref="A79" r:id="rId290" display="      MDM Configuration Policies - Desktop OS" xr:uid="{BDC351E1-F767-467D-983D-731469AFC5C6}"/>
    <hyperlink ref="A78" r:id="rId291" display="      MAM Policies - Mobile OS (iOS Android)" xr:uid="{605BCDD7-D9EB-4791-A7C8-D49DE4FD20A9}"/>
    <hyperlink ref="A77" r:id="rId292" display="      MDM Configuration Polices - Mobile OS (iOS, Android)" xr:uid="{B320C2F0-B289-4280-A527-D17B6ADB1EB6}"/>
    <hyperlink ref="A76" r:id="rId293" display="      Baseline Compliance Policies" xr:uid="{BC55F3C3-40B9-45D5-BB0D-C7A27A47BC0D}"/>
    <hyperlink ref="A64" r:id="rId294" display="      Azure AD Identity Governance - Entitlement Packages" xr:uid="{60D6C919-EC4E-45E3-B61D-83718502FABF}"/>
    <hyperlink ref="A63" r:id="rId295" display="      Azure AD Identity Governance - Access Reviews" xr:uid="{30B32BF3-0F27-45C5-A8B1-7F88390F0157}"/>
    <hyperlink ref="A62" r:id="rId296" display="      Dynamic User Groups" xr:uid="{2741ED17-3170-4C8D-BEAC-A4B6335D5B54}"/>
    <hyperlink ref="A61" r:id="rId297" display="      Self Service Group Management" xr:uid="{F00038CB-B1F5-4F34-9684-AF87FEBD9696}"/>
    <hyperlink ref="A60" r:id="rId298" display="      Process - Disable Accounts not used in last 30 days" xr:uid="{F5A4EA1C-CE92-4BE5-B5A1-A69BD5057753}"/>
    <hyperlink ref="A57" r:id="rId299" display="      Suggestion - HR System Intergration" xr:uid="{5D2CF1A2-3286-408F-8FAD-B175CA2FEBD4}"/>
    <hyperlink ref="A48" r:id="rId300" display="      Azure AD - Third party SaaS Applications (SSO)" xr:uid="{994A3601-DBB8-45F7-B87F-17301B0FF96D}"/>
    <hyperlink ref="A47" r:id="rId301" display="      Microsoft Tunnel" xr:uid="{E673BE5B-6B6D-4750-B6E6-7E8118046799}"/>
    <hyperlink ref="A46" r:id="rId302" display="      Azure AD Application Proxy" xr:uid="{49F7E9D7-41AC-46ED-B2FE-FD64519EEB56}"/>
    <hyperlink ref="A73" r:id="rId303" location=":~:text=Microsoft%20Secure%20Score%20is%20a%20measurement%20of%20an,Score%20recommendations%20can%20protect%20your%20organization%20from%20threats." display="      Process - Assess Secure Score - Continuous" xr:uid="{A0865D87-C7CE-4798-9C7C-B10FCC1B34A1}"/>
    <hyperlink ref="A39" r:id="rId304" display="      Privileged Access Management (Exchange Online Only)" xr:uid="{4EB6FA0F-413D-42D4-A674-75B4C43BB310}"/>
    <hyperlink ref="A180" r:id="rId305" display="   Microsoft Defender Threat Intelligence" xr:uid="{584BDF89-8900-409E-80F9-1E70B5999678}"/>
    <hyperlink ref="A195" r:id="rId306" display="      Content Explorer" xr:uid="{50AEA59E-C217-4EFA-8D4E-FB9BFA1E9234}"/>
    <hyperlink ref="A134" r:id="rId307" display="      Microsoft Defender for Endpoints TVM" xr:uid="{FFB696BF-251B-4A13-B809-A5781FDC1F93}"/>
    <hyperlink ref="A126" r:id="rId308" display="      MDE Policy Configuration" xr:uid="{FAC8359E-5385-4327-A5C3-A90F5897EB67}"/>
    <hyperlink ref="V126" r:id="rId309" xr:uid="{456C6983-3A60-4FA4-AECB-2A90DC3D0278}"/>
    <hyperlink ref="W126" r:id="rId310" xr:uid="{D3222D83-3A4A-451E-8E8B-842B529C36B5}"/>
    <hyperlink ref="A181" r:id="rId311" display="   Microsoft Defender External Attack Surface Management" xr:uid="{A4059416-2E80-4EAB-96D0-4C9452FF4B9A}"/>
    <hyperlink ref="W134" r:id="rId312" xr:uid="{41A84E27-1EA9-470A-93B0-737E14945152}"/>
    <hyperlink ref="W135" r:id="rId313" xr:uid="{D4676461-6ADE-4211-84F8-36434BD1086E}"/>
    <hyperlink ref="V134" r:id="rId314" xr:uid="{9EC0C8FB-ADA5-4778-9091-A28C325A7846}"/>
    <hyperlink ref="V135" r:id="rId315" xr:uid="{6A82B2AE-65A2-4D63-86BB-6C0F637B0DA9}"/>
    <hyperlink ref="A70" r:id="rId316" display="      Identity Governance - Connected Organisations" xr:uid="{72997641-3C89-44F2-8649-12219C2018FD}"/>
    <hyperlink ref="A69" r:id="rId317" display="      External Identities" xr:uid="{AA19DB6A-FBB1-429A-9325-36F55827EF74}"/>
    <hyperlink ref="A68" r:id="rId318" location="collaborate-with-any-partner-using-their-identities" display="      B2B Guests" xr:uid="{E6AAFEB1-22BD-4B03-8B76-D7EC9C0832B1}"/>
    <hyperlink ref="V68" r:id="rId319" xr:uid="{F8B00009-27E7-45E2-94B9-7756E6DBF915}"/>
    <hyperlink ref="V69" r:id="rId320" xr:uid="{47BCA35D-3C52-4994-922C-1B6D4A528C5D}"/>
    <hyperlink ref="V70" r:id="rId321" xr:uid="{240E5FEB-7209-4CAD-A75B-ED18F2F29F58}"/>
    <hyperlink ref="V71" r:id="rId322" xr:uid="{D0306F5E-1A84-44AC-87FB-1F28AAAC3CE4}"/>
    <hyperlink ref="W68" r:id="rId323" location="guest-inviter" xr:uid="{5B4FB104-0B48-40E4-BFD7-C7626D8A5F50}"/>
    <hyperlink ref="W71" r:id="rId324" location="teams-administrator" display="Teams Administrator" xr:uid="{F11DCE61-1E5C-4CC5-83E9-8D5A3806183E}"/>
    <hyperlink ref="W70" r:id="rId325" location="teams-administrator" display="Teams Administrator" xr:uid="{9A51E7F0-046B-4BB8-B02C-6A6600C13FF3}"/>
    <hyperlink ref="W69" r:id="rId326" location="link-your-azure-ad-tenant-to-a-subscription" xr:uid="{E164A922-F8C7-49C3-97C4-B59D4BFC9D54}"/>
    <hyperlink ref="W195" r:id="rId327" location="permissions" xr:uid="{719511CA-9DBC-4688-841D-08D4E7901732}"/>
    <hyperlink ref="V192" r:id="rId328" xr:uid="{AA16B213-705A-46F8-B6F8-A35804FE8EBF}"/>
    <hyperlink ref="V177" r:id="rId329" xr:uid="{321F99C8-C559-423D-9557-6B3FBC50F878}"/>
    <hyperlink ref="V176" r:id="rId330" xr:uid="{C28F94D2-3E48-4467-A6EB-02AE48C2F9A9}"/>
    <hyperlink ref="V28" r:id="rId331" xr:uid="{0FF4B59E-E409-45B0-BFE3-64B7510EFC1C}"/>
    <hyperlink ref="V198" r:id="rId332" xr:uid="{FD89F2F7-3A57-44A9-9C3D-E7F6D391B948}"/>
    <hyperlink ref="W214" r:id="rId333" location="role-groups-in-the-security--compliance-center" xr:uid="{E9A05C86-630A-45C8-B5BA-485433A349EA}"/>
    <hyperlink ref="W213" r:id="rId334" location="role-groups-in-the-security--compliance-center" xr:uid="{CE4BEDEC-C8DF-488E-A2FB-AB3F682398E4}"/>
    <hyperlink ref="W235" r:id="rId335" location="role-groups-in-the-security--compliance-center" xr:uid="{56451605-CEFF-41F2-A00B-74271C2FF1DC}"/>
    <hyperlink ref="W218" r:id="rId336" location="security-reader" xr:uid="{590AD7B9-D693-4FAC-AD36-89FF88139A12}"/>
    <hyperlink ref="A150" r:id="rId337" xr:uid="{849E8C13-4F4B-4ED4-BAC4-30D092CB9C31}"/>
    <hyperlink ref="V150" r:id="rId338" xr:uid="{A6C1C088-4E6A-492D-B9F7-1C4F267C2E70}"/>
    <hyperlink ref="W149" r:id="rId339" location="how-can-i-track-who-in-my-organization-enabled-a-microsoft-defender-plan-in-defender-for-cloud" xr:uid="{9A3C3A3E-6A9F-4CAE-A8C3-9CF80AF017B8}"/>
    <hyperlink ref="W151" r:id="rId340" location="how-can-i-track-who-in-my-organization-enabled-a-microsoft-defender-plan-in-defender-for-cloud" xr:uid="{0028B96A-8307-4234-A833-F2F4C345CE27}"/>
    <hyperlink ref="W239" r:id="rId341" xr:uid="{86F19EF3-6D2E-4713-81E9-675278521555}"/>
    <hyperlink ref="A32" r:id="rId342" location="authentication-context" xr:uid="{FFB91558-251E-42EF-9D7D-4AD16D3D0586}"/>
    <hyperlink ref="A31" r:id="rId343" display="      Azure AD Conditional Access: Authentication Strength" xr:uid="{F7625A8C-B6EB-400A-89CF-48D8DD40C307}"/>
    <hyperlink ref="A120" r:id="rId344" display="         Unified Write Filter" xr:uid="{B81017DB-F5DB-4FC2-9FD4-A197170A5365}"/>
    <hyperlink ref="A139" r:id="rId345" location="defender-cspm-plan-options" display="      Microsoft Defender Cloud Security Posture Management" xr:uid="{6C14B8D1-CDCB-4C91-8CB9-806C3F980C43}"/>
    <hyperlink ref="V139" r:id="rId346" xr:uid="{1275C55E-E107-4628-AEC3-993747F5F4CA}"/>
    <hyperlink ref="W139" r:id="rId347" location="required-permissions" xr:uid="{9A83E624-9DF7-4C63-AB6A-6A754D872A26}"/>
    <hyperlink ref="A89" r:id="rId348" display="     Management of Specialty Devices" xr:uid="{04FCADB6-A209-44B4-82B7-6B53DF4B251D}"/>
    <hyperlink ref="A88" r:id="rId349" xr:uid="{8FD8790C-1541-4B6D-9299-417105CA719E}"/>
    <hyperlink ref="A81" r:id="rId350" display="      Endpoint Analytics" xr:uid="{525CC1F9-D85B-4721-915E-43CAA67178A5}"/>
    <hyperlink ref="W81" r:id="rId351" location="bkmk_intune_prereq" xr:uid="{40DEE794-806E-41B2-96D2-420B6BDAD13C}"/>
    <hyperlink ref="A80" r:id="rId352" display="      Azure AD Domain Joined or Hybrid Domain Joined" xr:uid="{4B5C9CE9-4D9E-49D0-8C47-016DF72EC563}"/>
    <hyperlink ref="A93" r:id="rId353" xr:uid="{DB4D18A3-375C-49C9-B00A-C459731260A7}"/>
    <hyperlink ref="A94" r:id="rId354" xr:uid="{B2550879-CB7A-4C82-90FF-202CAFB9BAAA}"/>
    <hyperlink ref="W80" r:id="rId355" location="prerequisites" xr:uid="{081803FB-0DF2-4225-A025-53F707A2846B}"/>
    <hyperlink ref="W94" r:id="rId356" location="bkmk_intune_prereq" xr:uid="{447FEBB6-3C62-4022-87F8-6C18D5A8E3A7}"/>
    <hyperlink ref="W88" r:id="rId357" xr:uid="{D6664D85-DAA8-4C2F-8A06-417C8BBB1419}"/>
    <hyperlink ref="W89" r:id="rId358" xr:uid="{A790C97B-7A6F-4E19-9D80-4623DF10473A}"/>
    <hyperlink ref="W76" r:id="rId359" location="built-in-roles" display="Intune Administrator" xr:uid="{C4456FD8-5243-4FA6-A0A0-8CA13F090D40}"/>
    <hyperlink ref="A135" r:id="rId360" display="         Microsoft Defender Vulnerability Management" xr:uid="{610DA2F7-ACCE-45EC-A42F-E7A13A9CE871}"/>
    <hyperlink ref="W150" r:id="rId361" location="availability" xr:uid="{DE87EEDB-608C-42AB-893E-5520B47F5BA1}"/>
    <hyperlink ref="A111" r:id="rId362" display="         Cloud LAPS (preview)" xr:uid="{CACC9DE9-4EA1-4D37-83EC-5277BED26537}"/>
    <hyperlink ref="V132" r:id="rId363" xr:uid="{B6DA658A-7683-4C2C-A78B-49BC23C2A410}"/>
    <hyperlink ref="W132" r:id="rId364" xr:uid="{80D8C907-34DA-4F67-BE5A-02166C5109F2}"/>
    <hyperlink ref="A132" r:id="rId365" display="   Microsoft Defender for Endpoints for Servers" xr:uid="{22F67417-CC57-4FDC-90DD-1C46EB9D6456}"/>
    <hyperlink ref="V32" r:id="rId366" display="https://entra.microsoft.com" xr:uid="{24B6D1FA-8D03-499E-9AC2-F6EA8A09BD24}"/>
    <hyperlink ref="V49" r:id="rId367" xr:uid="{6D95A3A7-202C-4CC4-AF05-E8A3389A664F}"/>
    <hyperlink ref="W49" r:id="rId368" location="global-secure-access-administrator" display=" Global Secure Access Administrator role" xr:uid="{071F94AB-D831-4967-8742-A2127E374420}"/>
    <hyperlink ref="V50" r:id="rId369" xr:uid="{A4754042-8FAF-4415-8BF7-00B1F2757518}"/>
    <hyperlink ref="W50" r:id="rId370" location="global-secure-access-administrator" display=" Global Secure Access Administrator role" xr:uid="{C0444F66-7B41-41FB-A327-85B8D4D5ACD3}"/>
    <hyperlink ref="A50" r:id="rId371" display="Global Secure Access: Microsoft Entra Private Access - Per-App " xr:uid="{D87FCC51-E695-4C05-850C-1E0B23EC1032}"/>
    <hyperlink ref="A49" r:id="rId372" display="Global Secure Access: Microsoft Entra Private Access - Quick Access " xr:uid="{5B2F4CD3-EC3E-4616-BBE2-89435EFC8F10}"/>
    <hyperlink ref="V51" r:id="rId373" xr:uid="{A9C908C8-C0C6-45D6-8FE2-0BD97F1CD4FC}"/>
    <hyperlink ref="W51" r:id="rId374" location="global-secure-access-administrator" display=" Global Secure Access Administrator role" xr:uid="{BE50BA64-697D-459B-9C55-93FE56802341}"/>
    <hyperlink ref="A51" r:id="rId375" xr:uid="{389DCAFD-B69B-4A4C-952D-16226181BEFC}"/>
    <hyperlink ref="A58" r:id="rId376" xr:uid="{2D604C8E-4598-4B8C-8895-A973FFA6475F}"/>
    <hyperlink ref="V58" r:id="rId377" xr:uid="{C3803AA9-7D68-456E-99CF-92CCB397DEE2}"/>
    <hyperlink ref="W58" r:id="rId378" location="prerequisites" xr:uid="{3F38133C-3361-499E-9429-CEEA831E8D97}"/>
    <hyperlink ref="V52" r:id="rId379" xr:uid="{77881BFE-335C-497E-A326-CB4AAE293208}"/>
    <hyperlink ref="W52" r:id="rId380" location="prerequisites" xr:uid="{E3ADAA6F-DFD0-49F2-B7DB-07B6ABFA6474}"/>
    <hyperlink ref="A66" r:id="rId381" location="user-to-group-affiliation" display="      Microsoft Entra Identity Governance - User-to-Group Affilation Access Reviews" xr:uid="{A614C133-BE89-4C29-9EEA-78A1D0DCE699}"/>
    <hyperlink ref="V65:V66" r:id="rId382" display="https://entra.microsoft.com" xr:uid="{D2304B08-7EF3-4DF2-BFC1-FAFFBDB9BC35}"/>
    <hyperlink ref="W65" r:id="rId383" location="entitlement-management-roles" xr:uid="{8C132992-1FC8-4FA8-B997-6DCF51B41574}"/>
    <hyperlink ref="W66" r:id="rId384" location="entitlement-management-roles" xr:uid="{6AB6978C-DFF9-43FE-912A-E69C8A5F11A1}"/>
    <hyperlink ref="V157" r:id="rId385" xr:uid="{B4783AEB-C10E-4741-B291-55DBEB889E85}"/>
    <hyperlink ref="A40" r:id="rId386" location="microsoft-admin-portals" display="      Conditional Access: Microsoft Admin Portals and Device filters" xr:uid="{F41F675C-80B5-433C-9829-AA0EE31F4B71}"/>
    <hyperlink ref="A20" r:id="rId387" xr:uid="{C12293BD-65E1-4C47-AFC2-6988D78478CC}"/>
    <hyperlink ref="A21" r:id="rId388" xr:uid="{C8FD3E09-6676-464C-973B-2CA0DF92353F}"/>
    <hyperlink ref="A233" r:id="rId389" display="      Microsoft Purview Compliance Manager" xr:uid="{68E30F58-2EE9-4A96-A1AD-84673F116447}"/>
    <hyperlink ref="W233" r:id="rId390" location="set-user-permissions-and-assign-roles" xr:uid="{44ABB2A9-5307-40C3-A4F7-0651965D4758}"/>
    <hyperlink ref="A236" r:id="rId391" display="      Microsoft Priva" xr:uid="{620F0B89-9BAF-4E5A-92B0-DA39055501B3}"/>
    <hyperlink ref="W236" r:id="rId392" location="role-groups-in-the-security--compliance-center" xr:uid="{E26153AA-A716-494E-AA58-4327DE3729EE}"/>
    <hyperlink ref="A202" r:id="rId393" xr:uid="{71748CDA-C83E-4FDE-B2F9-6029D0C8FA2E}"/>
    <hyperlink ref="W201" r:id="rId394" location="exchange-online-permissions" xr:uid="{927A1D8C-58E6-4FB4-9708-5F17531E392F}"/>
    <hyperlink ref="W202" r:id="rId395" location="exchange-online-permissions" xr:uid="{938A630A-2D82-42E2-A451-5DAF5859B93A}"/>
    <hyperlink ref="A200" r:id="rId396" xr:uid="{0CA21996-0982-4255-85BE-04938E540BE6}"/>
    <hyperlink ref="W200" r:id="rId397" location="permissions" xr:uid="{139684BF-32DC-4E50-84B0-22EFBB3C9439}"/>
    <hyperlink ref="W203" r:id="rId398" xr:uid="{9C9FB94E-AE6B-4250-9CF1-75EE69367BC8}"/>
    <hyperlink ref="W204" r:id="rId399" xr:uid="{18359E3A-F774-4D06-A6A3-7FA427CAD257}"/>
    <hyperlink ref="W205" r:id="rId400" xr:uid="{C0A6A969-670C-4D78-8D1D-3CD82177BA89}"/>
    <hyperlink ref="W206" r:id="rId401" xr:uid="{E1F9C6EB-E7D8-4027-88C5-15F25449207A}"/>
    <hyperlink ref="W207" r:id="rId402" location="permissions-for-adaptive-protection" xr:uid="{3E775F57-364A-4BA9-9760-930EC566F240}"/>
    <hyperlink ref="A8" r:id="rId403" xr:uid="{EAE900C3-DA1B-4B47-B117-BC981E570DE3}"/>
    <hyperlink ref="A33" r:id="rId404" xr:uid="{8018C91A-2E64-40A3-91A5-76300FFAB201}"/>
    <hyperlink ref="A52" r:id="rId405" xr:uid="{0E95247B-D843-49A9-ABE9-08391F4715F3}"/>
    <hyperlink ref="A34" r:id="rId406" xr:uid="{BC4C9C4D-FE5D-43FE-A009-BFF0FB56ED83}"/>
    <hyperlink ref="A53" r:id="rId407" xr:uid="{DE294416-4922-4B05-A5D3-EA4F4C0A5B2D}"/>
    <hyperlink ref="A54" r:id="rId408" xr:uid="{0C55586E-1A1C-4FA2-9D95-97295D180A46}"/>
    <hyperlink ref="A55" r:id="rId409" xr:uid="{A160D5B6-C19A-400E-8ECC-A7371CBF398C}"/>
    <hyperlink ref="A22" r:id="rId410" xr:uid="{DA619124-0911-4FC5-AF51-29360087691A}"/>
    <hyperlink ref="V40" r:id="rId411" xr:uid="{A66E552B-3BCC-4D56-9A89-B68B20B9BE9E}"/>
    <hyperlink ref="V41" r:id="rId412" xr:uid="{DBAF926A-0AE7-4611-ACEA-B529178BA34C}"/>
    <hyperlink ref="V53" r:id="rId413" xr:uid="{38CB2DC4-AF05-4B1F-85E0-A1D783E1C1AD}"/>
    <hyperlink ref="V54" r:id="rId414" xr:uid="{42DDE381-EDD9-4B7E-8494-2940D383099A}"/>
    <hyperlink ref="V55" r:id="rId415" xr:uid="{651B1558-69C2-43D1-8BB7-5B54B5313C75}"/>
    <hyperlink ref="V22" r:id="rId416" xr:uid="{0DF9A92A-1C43-4128-9B90-510FD9C022D6}"/>
    <hyperlink ref="V21" r:id="rId417" xr:uid="{983F216C-A6FB-4060-A738-D7B33F7B570B}"/>
    <hyperlink ref="V31" r:id="rId418" xr:uid="{35C76BEC-3047-48EC-ABF0-3A0232FEFC19}"/>
    <hyperlink ref="W21" r:id="rId419" location="multi-factor-authentication" xr:uid="{D4CF9879-1543-4D0E-8314-EFE2F52EE125}"/>
    <hyperlink ref="W22" r:id="rId420" location="multi-factor-authentication" xr:uid="{DD44EB95-B5A0-4F56-B45F-B12B7A395692}"/>
    <hyperlink ref="W29" r:id="rId421" xr:uid="{B7603229-1E55-4FEF-BF9A-95A65EE0B1F2}"/>
    <hyperlink ref="W31" r:id="rId422" xr:uid="{35867172-8708-4B0B-921E-57F2AD56EDB2}"/>
    <hyperlink ref="W32" r:id="rId423" xr:uid="{AE92CF9C-4782-4B7C-81B5-0E9B65658FFA}"/>
    <hyperlink ref="W33" r:id="rId424" xr:uid="{AEA4ADCF-7A73-43A4-91B9-CF1ECC914AC8}"/>
    <hyperlink ref="W34" r:id="rId425" display="https://learn.microsoft.com/en-us/azure/active-directory/roles/permissions-reference" xr:uid="{7C2F7F89-9A2C-4ED0-B273-77C8C3786648}"/>
    <hyperlink ref="W40" r:id="rId426" xr:uid="{7E3A869C-EDDA-4CE2-88CD-F7C672C7F142}"/>
    <hyperlink ref="W41" r:id="rId427" display="https://go.microsoft.com/fwlink/?linkid=2248574" xr:uid="{19DC76EE-63BF-4903-A86C-5DA2CBF66C9F}"/>
    <hyperlink ref="W20" r:id="rId428" xr:uid="{DC966174-4C2C-4BC2-B68C-82C303BA5312}"/>
    <hyperlink ref="W54" r:id="rId429" location="global-secure-access-administrator" display=" Global Secure Access Administrator role" xr:uid="{6AE16A5A-CE98-470A-BBC1-DC724DEBF74C}"/>
    <hyperlink ref="W55" r:id="rId430" location="global-secure-access-administrator" display=" Global Secure Access Administrator role" xr:uid="{5CBB4178-C3F7-4CB8-A9BF-8FDFEA728EDB}"/>
    <hyperlink ref="A59" r:id="rId431" xr:uid="{81E71FC7-9E98-4A7D-9319-21FD59E21F9C}"/>
    <hyperlink ref="W53" r:id="rId432" location="security-administrator" xr:uid="{FF7EB359-941B-4D80-8A9D-FC39D06AEF57}"/>
    <hyperlink ref="A90" r:id="rId433" xr:uid="{31A829EA-3AEE-4CA1-9FF7-45D16ED7D0FD}"/>
    <hyperlink ref="A95" r:id="rId434" xr:uid="{FD21531D-DD87-470A-ABE0-385840025BFB}"/>
    <hyperlink ref="A96" r:id="rId435" xr:uid="{8D859042-A2DC-485B-A0C6-CE924DB64AC5}"/>
    <hyperlink ref="V76" r:id="rId436" xr:uid="{B7CAE2FC-8A3B-4A96-905C-D6BC07E1B3DF}"/>
    <hyperlink ref="V77" r:id="rId437" xr:uid="{49D85508-6A70-4A8A-945C-8973606FB15F}"/>
    <hyperlink ref="V78" r:id="rId438" xr:uid="{D342217B-B0E8-4614-981C-9D141B6D1105}"/>
    <hyperlink ref="V79" r:id="rId439" xr:uid="{69033774-A4B6-405B-932D-F1829458AC30}"/>
    <hyperlink ref="V80" r:id="rId440" xr:uid="{C0F03CCD-508E-4889-B244-94D4EE87F823}"/>
    <hyperlink ref="V81" r:id="rId441" xr:uid="{87F32FD2-F8EF-4FF7-A9E6-9027FACEEABF}"/>
    <hyperlink ref="V83" r:id="rId442" xr:uid="{6E390AE2-4840-4BAC-BBB3-6B20A410B193}"/>
    <hyperlink ref="V84" r:id="rId443" xr:uid="{2B201CCE-663B-496B-9D25-0498B2645917}"/>
    <hyperlink ref="V85" r:id="rId444" xr:uid="{32FF3E66-307A-45F9-9E5B-9FC014B82112}"/>
    <hyperlink ref="V88" r:id="rId445" xr:uid="{4F466E00-17E0-4316-A6F0-604A5989E0AD}"/>
    <hyperlink ref="V89" r:id="rId446" xr:uid="{AF6EA4B8-02DC-48E4-8CD8-59D6854E8A0C}"/>
    <hyperlink ref="V90" r:id="rId447" xr:uid="{B9D1CD58-02F1-4873-9137-5F6E217A9046}"/>
    <hyperlink ref="V92" r:id="rId448" xr:uid="{8F65DA2D-5A19-46C4-B027-4BCE21670696}"/>
    <hyperlink ref="V93" r:id="rId449" xr:uid="{11BAF9C3-C80E-4025-AA9F-9C5D7C114931}"/>
    <hyperlink ref="V94" r:id="rId450" xr:uid="{29C31034-19BD-47FF-B16A-2E50642D08C7}"/>
    <hyperlink ref="V95" r:id="rId451" xr:uid="{24EFC812-E183-4F29-AFCC-3C562E9CFEC8}"/>
    <hyperlink ref="V96" r:id="rId452" xr:uid="{8C8C213B-9F09-4496-97AD-B0C916A581FB}"/>
    <hyperlink ref="V47" r:id="rId453" xr:uid="{D9D2EA41-CE06-40F2-A7FE-515677554D62}"/>
    <hyperlink ref="V6" r:id="rId454" xr:uid="{94FCB747-659B-4F64-936C-B0022E8EFC6F}"/>
    <hyperlink ref="V101" r:id="rId455" xr:uid="{98FB0D0B-AF39-4A70-9D9D-0E57604244CC}"/>
    <hyperlink ref="V105" r:id="rId456" xr:uid="{27774F19-B8F2-4401-A71F-1C931076A0EA}"/>
    <hyperlink ref="V106" r:id="rId457" xr:uid="{F99632E7-E660-41CC-8286-F5B264A85022}"/>
    <hyperlink ref="V107" r:id="rId458" xr:uid="{A63B8767-E51C-45C1-8FDA-66CE08B60CA1}"/>
    <hyperlink ref="V109" r:id="rId459" xr:uid="{A0FB45ED-64A5-4C4C-9D4A-914874821B71}"/>
    <hyperlink ref="V112" r:id="rId460" xr:uid="{544A9DF6-4363-4A2A-94A1-ACC9856D0EC5}"/>
    <hyperlink ref="V114" r:id="rId461" xr:uid="{DFD91268-FAE2-44E7-8D69-EC51637C9D32}"/>
    <hyperlink ref="V115" r:id="rId462" xr:uid="{61680CA2-ABB2-4D46-857F-A031E53A591F}"/>
    <hyperlink ref="V116" r:id="rId463" xr:uid="{91550649-CB9E-464A-973D-E6BCDA3DDF14}"/>
    <hyperlink ref="V117" r:id="rId464" xr:uid="{7DBD2F7C-E5E8-4A07-9BD2-24B5A4213CC1}"/>
    <hyperlink ref="V118" r:id="rId465" xr:uid="{73131D2B-416C-4533-B796-C9AB7562161E}"/>
    <hyperlink ref="V120" r:id="rId466" xr:uid="{0672F363-ADE5-4CC1-9990-72A2DEDC7E32}"/>
    <hyperlink ref="V121" r:id="rId467" xr:uid="{7BBF405B-6A18-4B33-8F65-7AD5618E0F6B}"/>
    <hyperlink ref="V122" r:id="rId468" xr:uid="{1130C96C-6CE1-4EF8-BF70-2CDFCDB257E6}"/>
    <hyperlink ref="W90" r:id="rId469" xr:uid="{7AEEEEFE-59AA-4032-B790-F5472B600D49}"/>
    <hyperlink ref="W93" r:id="rId470" location="bkmk_intune_prereq" xr:uid="{E3E87FE5-93E8-4EC6-A28F-98FEF877AA16}"/>
    <hyperlink ref="W95" r:id="rId471" location="bkmk_intune_prereq" xr:uid="{078981DF-CE31-460B-9AB3-1540D4230B92}"/>
    <hyperlink ref="W96" r:id="rId472" display="Intune Administrator" xr:uid="{0FD6756A-D05B-4AC5-8783-6E3281512B00}"/>
    <hyperlink ref="W123" r:id="rId473" location="multi-factor-authentication" display="Global Administrator" xr:uid="{C4F4C27E-576A-4C34-912F-8AAD8D473F89}"/>
    <hyperlink ref="V123" r:id="rId474" xr:uid="{7C38DB23-10AF-45B1-9C6E-AA2414F124D2}"/>
    <hyperlink ref="A65" r:id="rId475" xr:uid="{F82CA9BB-9EDC-4DF8-B286-1E3573B26A87}"/>
    <hyperlink ref="A71" r:id="rId476" xr:uid="{2532C5B1-19FD-46B4-9DBC-FA801DC0BE6E}"/>
    <hyperlink ref="A157" r:id="rId477" xr:uid="{0CB71A13-0C66-4A5A-80DD-F45629A9C35E}"/>
    <hyperlink ref="W154" r:id="rId478" location="how-can-i-track-who-in-my-organization-enabled-a-microsoft-defender-plan-in-defender-for-cloud" xr:uid="{D45BEA62-D126-4357-8B6D-17C1C6972A20}"/>
    <hyperlink ref="W155" r:id="rId479" location="how-can-i-track-who-in-my-organization-enabled-a-microsoft-defender-plan-in-defender-for-cloud" xr:uid="{76C966F0-6DC7-4D63-91D3-C8EA8A26D18A}"/>
    <hyperlink ref="W156" r:id="rId480" location="how-can-i-track-who-in-my-organization-enabled-a-microsoft-defender-plan-in-defender-for-cloud" xr:uid="{D0186A1E-270B-4FF0-8E4A-DC2B9B545512}"/>
    <hyperlink ref="W157" r:id="rId481" location="how-can-i-track-who-in-my-organization-enabled-a-microsoft-defender-plan-in-defender-for-cloud" xr:uid="{69819AF8-B059-427B-AAF2-5376A2A805AE}"/>
    <hyperlink ref="W158" r:id="rId482" location="how-can-i-track-who-in-my-organization-enabled-a-microsoft-defender-plan-in-defender-for-cloud" xr:uid="{E9AAD393-32B2-45DE-8077-4FE9B61E22C2}"/>
    <hyperlink ref="W159" r:id="rId483" location="how-can-i-track-who-in-my-organization-enabled-a-microsoft-defender-plan-in-defender-for-cloud" xr:uid="{C721D686-B031-4E1E-AF59-E834C28B6BCF}"/>
    <hyperlink ref="A164" r:id="rId484" xr:uid="{C4B5B392-53FB-4BBD-A42E-681393F49EA1}"/>
    <hyperlink ref="A183" r:id="rId485" xr:uid="{464C7F9A-0293-49E6-8BC0-886943688453}"/>
    <hyperlink ref="V183" r:id="rId486" xr:uid="{EB832B45-42FF-4761-99D1-F1BE08AD2B5A}"/>
    <hyperlink ref="V181" r:id="rId487" xr:uid="{2A87493C-A5A2-45C0-A93E-D5454411BFEE}"/>
    <hyperlink ref="V180" r:id="rId488" xr:uid="{65576F9E-7FC7-4349-B9CA-892E3DC4B856}"/>
    <hyperlink ref="V182" r:id="rId489" xr:uid="{CFDA5DD3-140F-45CA-B7D3-74B4778649C0}"/>
    <hyperlink ref="W180" r:id="rId490" xr:uid="{CA405B98-7285-4E18-A152-97B576D35BB8}"/>
    <hyperlink ref="W181" r:id="rId491" xr:uid="{4FBFBDD2-D2C1-495F-877D-58C1D8B4A404}"/>
    <hyperlink ref="V187" r:id="rId492" xr:uid="{90EEF1BD-56EE-4EE2-9DBD-BB8C8707F385}"/>
    <hyperlink ref="V188" r:id="rId493" xr:uid="{5E6F7267-3B28-451B-8D23-54B79D3EEFA7}"/>
    <hyperlink ref="V189" r:id="rId494" xr:uid="{05AE4CD8-4645-4125-AFCF-53A57D485547}"/>
    <hyperlink ref="V190" r:id="rId495" xr:uid="{788D3D78-B51E-4BB4-9A76-5BF2A2950876}"/>
    <hyperlink ref="V191" r:id="rId496" xr:uid="{4E8D40A0-4C18-4990-A168-ABF574F59250}"/>
    <hyperlink ref="V193" r:id="rId497" xr:uid="{07337C80-A5B2-4AEA-9FED-B157EF007B61}"/>
    <hyperlink ref="V194" r:id="rId498" xr:uid="{FD90F42D-04A5-4C0F-B990-A9F13761BD1F}"/>
    <hyperlink ref="V195" r:id="rId499" xr:uid="{EC88E53D-2F76-4925-80B9-126658FC6C7A}"/>
    <hyperlink ref="V199" r:id="rId500" xr:uid="{B09FA1CA-C9BA-4A8E-930F-D353832D51D2}"/>
    <hyperlink ref="V200" r:id="rId501" xr:uid="{F446FB8D-DCD9-4CE8-9401-BD769FD71514}"/>
    <hyperlink ref="V201" r:id="rId502" xr:uid="{DD6653B5-6866-4C5E-A49A-268FDD933A82}"/>
    <hyperlink ref="V202" r:id="rId503" xr:uid="{D7AACA1E-BA19-4891-9517-5CA1B607E32E}"/>
    <hyperlink ref="V203" r:id="rId504" xr:uid="{69F92014-F125-4A6F-A492-6B576B41A20F}"/>
    <hyperlink ref="V204" r:id="rId505" xr:uid="{EA8A2C90-5838-4065-B340-4B070F0415F3}"/>
    <hyperlink ref="V205" r:id="rId506" xr:uid="{3D5AB4DB-F2C7-4033-8316-4EDE882A28F0}"/>
    <hyperlink ref="V206" r:id="rId507" xr:uid="{101FFFF0-27C9-4FE0-B6E1-A47C132F79DE}"/>
    <hyperlink ref="V207" r:id="rId508" xr:uid="{881936EC-3C2A-4275-B1D7-2BCCA8B04549}"/>
    <hyperlink ref="V210" r:id="rId509" xr:uid="{2DA71E17-68F8-4F55-9C20-B71ED989E791}"/>
    <hyperlink ref="V211" r:id="rId510" xr:uid="{FBC46D4D-98EB-4FFE-8892-8CF078A1193C}"/>
    <hyperlink ref="V212" r:id="rId511" xr:uid="{C8BB5A14-E76F-4E42-A548-5EFA6766DA51}"/>
    <hyperlink ref="V213" r:id="rId512" xr:uid="{89113234-AC93-4C8A-8C49-2DFCB1FBD731}"/>
    <hyperlink ref="V214" r:id="rId513" xr:uid="{2F0B05E7-5A6E-41A2-8BAD-8E112E912BD2}"/>
    <hyperlink ref="V216" r:id="rId514" xr:uid="{768F4BFC-9B74-4C88-85AF-D7DD99605E00}"/>
    <hyperlink ref="V217" r:id="rId515" xr:uid="{10FF3DE8-43AF-4189-A1F0-7928981511A4}"/>
    <hyperlink ref="V219" r:id="rId516" xr:uid="{A30172D0-022B-49B7-BF1A-23CFAA16D1BE}"/>
    <hyperlink ref="V220" r:id="rId517" xr:uid="{506C0C0C-783C-4AFE-B04E-32E298A0EA20}"/>
    <hyperlink ref="V233" r:id="rId518" xr:uid="{C18E247B-5801-4206-83B5-C60462C25C2C}"/>
    <hyperlink ref="V234" r:id="rId519" xr:uid="{9DBC2274-7E4C-441E-8199-8F09C0077414}"/>
    <hyperlink ref="V235" r:id="rId520" xr:uid="{63E93565-D05B-44EF-89C6-A2DDADE6A1CA}"/>
    <hyperlink ref="V236" r:id="rId521" xr:uid="{45556F3C-56C8-43BC-AA44-443FCED419D8}"/>
    <hyperlink ref="V238" r:id="rId522" xr:uid="{23882A6F-E625-4A3D-B83A-1DC1BD22E169}"/>
    <hyperlink ref="V239" r:id="rId523" xr:uid="{9A0566AB-482E-480D-AEC9-DF3211C76D6A}"/>
    <hyperlink ref="V240" r:id="rId524" xr:uid="{E823B444-391A-4BA0-80B0-44B8D14942FB}"/>
    <hyperlink ref="V241" r:id="rId525" xr:uid="{93D67ACF-E5FC-443B-9EC3-BB234921E877}"/>
    <hyperlink ref="V237" r:id="rId526" xr:uid="{B97A158F-11CB-499C-90D9-60DF865B5BA5}"/>
    <hyperlink ref="V169" r:id="rId527" xr:uid="{C5CA23DB-9AC4-4335-AD66-B0EDBA45FC2A}"/>
    <hyperlink ref="V170" r:id="rId528" xr:uid="{CD7C4AD8-B62C-4165-B997-0FF078C2A14A}"/>
    <hyperlink ref="V171" r:id="rId529" xr:uid="{E319A6A3-C2F2-49CB-8DA0-BC90EE00C9C5}"/>
    <hyperlink ref="A208" r:id="rId530" xr:uid="{7C46AB10-BB7D-4686-B989-6C84F3F2C1D9}"/>
    <hyperlink ref="V208" r:id="rId531" xr:uid="{EB00EA84-EAAE-4E49-AF5F-286B192A693D}"/>
    <hyperlink ref="W208" r:id="rId532" location="permissions-for-adaptive-protection" xr:uid="{455998C0-AB38-4417-9171-AB8FF47415C8}"/>
    <hyperlink ref="W219" r:id="rId533" display="Based on role" xr:uid="{5DF75E91-C79A-4F34-B5EF-95E0ECD75EDD}"/>
    <hyperlink ref="W220" r:id="rId534" display="Based on role" xr:uid="{C7E28EC0-B6D9-4B52-998B-524797B78069}"/>
    <hyperlink ref="W234" r:id="rId535" display="Based on role" xr:uid="{FB7A6F60-A526-4ADB-AC6E-0C7E244E4EC8}"/>
    <hyperlink ref="W240" r:id="rId536" display="Based on role" xr:uid="{096AF655-0FA0-4349-8B15-9AE6E4F08756}"/>
    <hyperlink ref="W241" r:id="rId537" display="Based on role" xr:uid="{E3F0E658-A79D-4368-A439-879131357ECC}"/>
    <hyperlink ref="W238" r:id="rId538" xr:uid="{CC4BCAFE-FF92-41E9-A693-F5412AAD1459}"/>
    <hyperlink ref="A207" r:id="rId539" xr:uid="{1F536BCB-4426-4BE8-9267-7BB3BC34BFA3}"/>
    <hyperlink ref="A224" r:id="rId540" xr:uid="{409F520E-50FF-4DDB-B86C-7D77A21D785F}"/>
    <hyperlink ref="A225" r:id="rId541" xr:uid="{56C2C415-2D24-4776-98E3-F85341AEC1EF}"/>
    <hyperlink ref="A226" r:id="rId542" xr:uid="{E0F4269B-77D3-48C0-81F5-8669EB5A51A9}"/>
    <hyperlink ref="A227" r:id="rId543" xr:uid="{CAF12970-4DC6-45FF-A1EB-AADAAE0B7DC3}"/>
    <hyperlink ref="A228" r:id="rId544" xr:uid="{AA944266-B2F1-4997-B6AD-0F303A023E24}"/>
    <hyperlink ref="A229" r:id="rId545" xr:uid="{DC73AF88-793D-4718-BC94-C76438BCAF32}"/>
    <hyperlink ref="V224" r:id="rId546" xr:uid="{B5CF054B-89B5-4E36-82F4-AEFC07DAF84A}"/>
    <hyperlink ref="V225" r:id="rId547" xr:uid="{EC2D59AB-EAFD-4F95-B0CE-A3ECE204FF8B}"/>
    <hyperlink ref="V226" r:id="rId548" xr:uid="{0DFD4011-D77D-4F8C-99C5-33DDE9270AF3}"/>
    <hyperlink ref="V227" r:id="rId549" xr:uid="{662FAF91-CBB8-48A5-B0EC-F1671006E933}"/>
    <hyperlink ref="V228" r:id="rId550" xr:uid="{7E9293CA-5F59-49A5-B7BC-4596ADEC1875}"/>
    <hyperlink ref="V229" r:id="rId551" display="https://entra.microsoft.com" xr:uid="{048FDA1A-B627-4263-A375-85B6508EF4FD}"/>
    <hyperlink ref="A152" r:id="rId552" xr:uid="{51B595AB-B9A6-414F-BF29-888F558E0CA3}"/>
    <hyperlink ref="V152" r:id="rId553" xr:uid="{0E9C4AD9-E375-43E9-8033-CF8B6574F86D}"/>
    <hyperlink ref="W152" r:id="rId554" location="how-can-i-track-who-in-my-organization-enabled-a-microsoft-defender-plan-in-defender-for-cloud" xr:uid="{E29CDAD5-66BF-4CC4-8D08-7A01F31040E4}"/>
    <hyperlink ref="A42" r:id="rId555" xr:uid="{E523ACAB-F851-4D6E-9D81-65879409ACF8}"/>
    <hyperlink ref="V42" r:id="rId556" display="https://entra.microsoft.com" xr:uid="{FD6882DE-7950-4140-A927-74873F7B8348}"/>
    <hyperlink ref="A230" r:id="rId557" xr:uid="{AFF6F9A4-6A6A-42B2-BC99-C8A4282DC6E2}"/>
    <hyperlink ref="V230" r:id="rId558" display="https://entra.microsoft.com" xr:uid="{4583B329-A119-4148-88FD-9F5F1D5C6FBE}"/>
    <hyperlink ref="A43" r:id="rId559" xr:uid="{77BE12E7-0261-4A79-A101-233C9811AEC3}"/>
    <hyperlink ref="V43" r:id="rId560" display="https://entra.microsoft.com" xr:uid="{E863A22C-230C-4B98-8AA6-AC0A503C575F}"/>
    <hyperlink ref="A231" r:id="rId561" xr:uid="{EDE0D861-796D-4B91-A535-A1444FC6F772}"/>
    <hyperlink ref="V231" r:id="rId562" xr:uid="{62DDE7C1-5F1B-47F9-BD00-2932B43FE218}"/>
    <hyperlink ref="A222" r:id="rId563" xr:uid="{82945B02-1661-406C-998B-6B269F8E2EE1}"/>
    <hyperlink ref="V222" r:id="rId564" xr:uid="{35ACD840-2CD2-4DC0-A017-3F2F02E33197}"/>
    <hyperlink ref="W222" r:id="rId565" display="Based on role" xr:uid="{5BCB6BD8-C42B-430A-B036-0BF9B02F6C19}"/>
  </hyperlinks>
  <pageMargins left="0.7" right="0.7" top="0.75" bottom="0.75" header="0.3" footer="0.3"/>
  <pageSetup paperSize="119" orientation="landscape" horizontalDpi="4294967293" r:id="rId566"/>
  <ignoredErrors>
    <ignoredError sqref="D93" formula="1"/>
  </ignoredErrors>
  <legacyDrawing r:id="rId567"/>
  <extLst>
    <ext xmlns:x14="http://schemas.microsoft.com/office/spreadsheetml/2009/9/main" uri="{CCE6A557-97BC-4b89-ADB6-D9C93CAAB3DF}">
      <x14:dataValidations xmlns:xm="http://schemas.microsoft.com/office/excel/2006/main" count="5">
        <x14:dataValidation type="list" allowBlank="1" showInputMessage="1" showErrorMessage="1" xr:uid="{365523EE-E3E0-498A-B6B4-C747112D184E}">
          <x14:formula1>
            <xm:f>'Data Validations'!$A$2:$A$5</xm:f>
          </x14:formula1>
          <xm:sqref>M3:M6 M8:M10 M137:M152 M68:M71 M73 M76:M81 M83:M86 M88:M90 M92:M96 M98:M101 M103 M105:M109 M111:M123 M134:M135 M57:M66 M162:M164 M166:M171 M173:M174 M176:M177 M179:M183 M25:M35 M186:M195 M13:M23 M154:M159 M45:M55 M197:M208 M126:M132 M233:M241 M210:M214 M224:M229 M37:M41 M216:M222</xm:sqref>
        </x14:dataValidation>
        <x14:dataValidation type="list" allowBlank="1" showInputMessage="1" showErrorMessage="1" xr:uid="{6EDB8C92-1249-4030-9CD7-8D2C9F5ADA7F}">
          <x14:formula1>
            <xm:f>'Data Validations'!$B$2:$B$5</xm:f>
          </x14:formula1>
          <xm:sqref>N3:N6 N8:N10 N137:N152 N68:N71 N73 N76:N81 N83:N86 N88:N90 N92:N96 N98:N101 N103 N105:N109 N111:N123 N134:N135 N57:N66 N162:N164 N166:N171 N173:N174 N176:N177 N179:N183 N25:N35 N186:N195 N13:N23 N154:N159 N45:N55 N197:N208 N126:N132 N233:N241 N210:N214 N37:N41 N224:N231 N216:N222</xm:sqref>
        </x14:dataValidation>
        <x14:dataValidation type="list" allowBlank="1" showInputMessage="1" showErrorMessage="1" xr:uid="{D122233E-2757-4C39-846C-6AF2F884EE1B}">
          <x14:formula1>
            <xm:f>'Exec Summary'!$C$110:$C$116</xm:f>
          </x14:formula1>
          <xm:sqref>O82</xm:sqref>
        </x14:dataValidation>
        <x14:dataValidation type="list" allowBlank="1" showInputMessage="1" showErrorMessage="1" xr:uid="{6CF6136E-74EA-4725-8C71-63F8E706B62F}">
          <x14:formula1>
            <xm:f>'Exec Summary'!$C$109:$C$116</xm:f>
          </x14:formula1>
          <xm:sqref>L3:L6 L8:L10 L13:L23 L137:L152 L68:L71 L73 L83:L86 L76:L81 L88:L90 L92:L96 L98:L101 L103 L105:L109 L126:L132 L134:L135 L45:L55 L154:L159 L162:L164 L173:L174 L166:L171 L186:L195 L176:L177 L233:L241 L57:L66 L25:L35 L179:L183 L111:L123 L210:L214 L197:L208 M230:M231 L37:L41 L224:L231 L216:L222</xm:sqref>
        </x14:dataValidation>
        <x14:dataValidation type="list" allowBlank="1" showInputMessage="1" showErrorMessage="1" xr:uid="{968B1BBF-8EE0-464D-984B-834376DD1863}">
          <x14:formula1>
            <xm:f>'Data Validations'!$C$2:$C$8</xm:f>
          </x14:formula1>
          <xm:sqref>F126:F132 F186:F195 F179:F183 F210:F214 F105:F109 F176:F177 F3:F10 F13:F23 F137:F152 F134:F135 F45:F55 F73 F37:F43 F25:F35 F76:F81 F83:F86 F88:F90 F98:F101 F92:F96 F103 F111:F123 F68:F71 F233:F241 F57:F66 F154:F159 F162:F164 F166:F171 F197:F208 F173:F174 F216:F231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532A-E7D7-4976-A83C-45EB278F4466}">
  <sheetPr codeName="Sheet5"/>
  <dimension ref="A1:C248"/>
  <sheetViews>
    <sheetView topLeftCell="C199" workbookViewId="0">
      <selection activeCell="C223" sqref="C223"/>
    </sheetView>
  </sheetViews>
  <sheetFormatPr defaultRowHeight="14.25" x14ac:dyDescent="0.45"/>
  <cols>
    <col min="1" max="1" width="71.265625" style="4" customWidth="1"/>
    <col min="2" max="3" width="255.73046875" style="4" bestFit="1" customWidth="1"/>
  </cols>
  <sheetData>
    <row r="1" spans="1:3" x14ac:dyDescent="0.45">
      <c r="A1" s="17" t="s">
        <v>196</v>
      </c>
      <c r="B1" s="17" t="s">
        <v>618</v>
      </c>
      <c r="C1" s="17" t="s">
        <v>619</v>
      </c>
    </row>
    <row r="2" spans="1:3" x14ac:dyDescent="0.45">
      <c r="A2" s="3" t="s">
        <v>228</v>
      </c>
      <c r="B2" s="13" t="s">
        <v>229</v>
      </c>
      <c r="C2" s="13" t="s">
        <v>229</v>
      </c>
    </row>
    <row r="3" spans="1:3" x14ac:dyDescent="0.45">
      <c r="A3" s="10" t="s">
        <v>620</v>
      </c>
      <c r="B3" s="2" t="s">
        <v>621</v>
      </c>
      <c r="C3" s="2" t="s">
        <v>621</v>
      </c>
    </row>
    <row r="4" spans="1:3" x14ac:dyDescent="0.45">
      <c r="A4" s="10" t="s">
        <v>622</v>
      </c>
      <c r="B4" s="4" t="s">
        <v>623</v>
      </c>
      <c r="C4" s="4" t="s">
        <v>623</v>
      </c>
    </row>
    <row r="5" spans="1:3" x14ac:dyDescent="0.45">
      <c r="A5" s="10" t="s">
        <v>624</v>
      </c>
      <c r="B5" s="2" t="s">
        <v>625</v>
      </c>
      <c r="C5" s="2" t="s">
        <v>625</v>
      </c>
    </row>
    <row r="6" spans="1:3" x14ac:dyDescent="0.45">
      <c r="A6" s="10" t="s">
        <v>626</v>
      </c>
      <c r="B6" s="2" t="s">
        <v>627</v>
      </c>
      <c r="C6" s="2" t="s">
        <v>627</v>
      </c>
    </row>
    <row r="7" spans="1:3" x14ac:dyDescent="0.45">
      <c r="A7" s="3" t="s">
        <v>628</v>
      </c>
      <c r="B7" s="13" t="s">
        <v>259</v>
      </c>
      <c r="C7" s="13" t="s">
        <v>259</v>
      </c>
    </row>
    <row r="8" spans="1:3" x14ac:dyDescent="0.45">
      <c r="A8" s="10" t="s">
        <v>629</v>
      </c>
      <c r="B8" s="2" t="s">
        <v>630</v>
      </c>
      <c r="C8" s="2" t="s">
        <v>630</v>
      </c>
    </row>
    <row r="9" spans="1:3" x14ac:dyDescent="0.45">
      <c r="A9" s="10" t="s">
        <v>631</v>
      </c>
      <c r="B9" s="2" t="s">
        <v>632</v>
      </c>
      <c r="C9" s="2" t="s">
        <v>632</v>
      </c>
    </row>
    <row r="10" spans="1:3" x14ac:dyDescent="0.45">
      <c r="A10" s="10" t="s">
        <v>633</v>
      </c>
      <c r="B10" s="2" t="s">
        <v>634</v>
      </c>
      <c r="C10" s="2" t="s">
        <v>634</v>
      </c>
    </row>
    <row r="11" spans="1:3" x14ac:dyDescent="0.45">
      <c r="A11" s="3" t="s">
        <v>274</v>
      </c>
      <c r="B11" s="13" t="s">
        <v>229</v>
      </c>
      <c r="C11" s="13" t="s">
        <v>229</v>
      </c>
    </row>
    <row r="12" spans="1:3" x14ac:dyDescent="0.45">
      <c r="A12" s="3" t="s">
        <v>635</v>
      </c>
      <c r="B12" s="13" t="s">
        <v>259</v>
      </c>
      <c r="C12" s="13" t="s">
        <v>259</v>
      </c>
    </row>
    <row r="13" spans="1:3" x14ac:dyDescent="0.45">
      <c r="A13" s="10" t="s">
        <v>636</v>
      </c>
      <c r="B13" s="2" t="s">
        <v>637</v>
      </c>
      <c r="C13" s="2" t="s">
        <v>637</v>
      </c>
    </row>
    <row r="14" spans="1:3" x14ac:dyDescent="0.45">
      <c r="A14" s="10" t="s">
        <v>638</v>
      </c>
      <c r="B14" s="2" t="s">
        <v>639</v>
      </c>
      <c r="C14" s="2" t="s">
        <v>639</v>
      </c>
    </row>
    <row r="15" spans="1:3" x14ac:dyDescent="0.45">
      <c r="A15" s="10" t="s">
        <v>640</v>
      </c>
      <c r="B15" s="2" t="s">
        <v>641</v>
      </c>
      <c r="C15" s="2" t="s">
        <v>642</v>
      </c>
    </row>
    <row r="16" spans="1:3" x14ac:dyDescent="0.45">
      <c r="A16" s="10" t="s">
        <v>643</v>
      </c>
      <c r="B16" s="2" t="s">
        <v>644</v>
      </c>
      <c r="C16" s="2" t="s">
        <v>644</v>
      </c>
    </row>
    <row r="17" spans="1:3" x14ac:dyDescent="0.45">
      <c r="A17" s="10" t="s">
        <v>645</v>
      </c>
      <c r="B17" s="2" t="s">
        <v>646</v>
      </c>
      <c r="C17" s="2" t="s">
        <v>646</v>
      </c>
    </row>
    <row r="18" spans="1:3" x14ac:dyDescent="0.45">
      <c r="A18" s="10" t="s">
        <v>647</v>
      </c>
      <c r="B18" s="2" t="s">
        <v>648</v>
      </c>
      <c r="C18" s="2" t="s">
        <v>649</v>
      </c>
    </row>
    <row r="19" spans="1:3" x14ac:dyDescent="0.45">
      <c r="A19" s="10" t="s">
        <v>650</v>
      </c>
      <c r="B19" s="2" t="s">
        <v>651</v>
      </c>
      <c r="C19" s="2" t="s">
        <v>651</v>
      </c>
    </row>
    <row r="20" spans="1:3" x14ac:dyDescent="0.45">
      <c r="A20" s="10" t="s">
        <v>652</v>
      </c>
      <c r="B20" s="2" t="s">
        <v>653</v>
      </c>
      <c r="C20" s="2" t="s">
        <v>654</v>
      </c>
    </row>
    <row r="21" spans="1:3" x14ac:dyDescent="0.45">
      <c r="A21" s="10" t="s">
        <v>655</v>
      </c>
      <c r="B21" s="2" t="s">
        <v>1197</v>
      </c>
      <c r="C21" s="2" t="s">
        <v>1198</v>
      </c>
    </row>
    <row r="22" spans="1:3" x14ac:dyDescent="0.45">
      <c r="A22" s="289" t="s">
        <v>1193</v>
      </c>
      <c r="B22" s="2" t="s">
        <v>1196</v>
      </c>
      <c r="C22" s="2" t="s">
        <v>1195</v>
      </c>
    </row>
    <row r="23" spans="1:3" x14ac:dyDescent="0.45">
      <c r="A23" s="10" t="s">
        <v>656</v>
      </c>
      <c r="B23" s="2" t="s">
        <v>657</v>
      </c>
      <c r="C23" s="2" t="s">
        <v>657</v>
      </c>
    </row>
    <row r="24" spans="1:3" x14ac:dyDescent="0.45">
      <c r="A24" s="3" t="s">
        <v>658</v>
      </c>
      <c r="B24" s="13" t="s">
        <v>259</v>
      </c>
      <c r="C24" s="13" t="s">
        <v>259</v>
      </c>
    </row>
    <row r="25" spans="1:3" x14ac:dyDescent="0.45">
      <c r="A25" s="10" t="s">
        <v>659</v>
      </c>
      <c r="B25" s="2" t="s">
        <v>660</v>
      </c>
      <c r="C25" s="2" t="s">
        <v>660</v>
      </c>
    </row>
    <row r="26" spans="1:3" x14ac:dyDescent="0.45">
      <c r="A26" s="10" t="s">
        <v>661</v>
      </c>
      <c r="B26" s="2" t="s">
        <v>662</v>
      </c>
      <c r="C26" s="2" t="s">
        <v>662</v>
      </c>
    </row>
    <row r="27" spans="1:3" x14ac:dyDescent="0.45">
      <c r="A27" s="10" t="s">
        <v>663</v>
      </c>
      <c r="B27" s="2" t="s">
        <v>664</v>
      </c>
      <c r="C27" s="2" t="s">
        <v>664</v>
      </c>
    </row>
    <row r="28" spans="1:3" x14ac:dyDescent="0.45">
      <c r="A28" s="10" t="s">
        <v>665</v>
      </c>
      <c r="B28" s="2" t="s">
        <v>666</v>
      </c>
      <c r="C28" s="2" t="s">
        <v>666</v>
      </c>
    </row>
    <row r="29" spans="1:3" x14ac:dyDescent="0.45">
      <c r="A29" s="10" t="s">
        <v>667</v>
      </c>
      <c r="B29" s="2" t="s">
        <v>668</v>
      </c>
      <c r="C29" s="2" t="s">
        <v>668</v>
      </c>
    </row>
    <row r="30" spans="1:3" x14ac:dyDescent="0.45">
      <c r="A30" s="10" t="s">
        <v>669</v>
      </c>
      <c r="B30" s="123" t="s">
        <v>670</v>
      </c>
      <c r="C30" s="123" t="s">
        <v>671</v>
      </c>
    </row>
    <row r="31" spans="1:3" x14ac:dyDescent="0.45">
      <c r="A31" s="10" t="s">
        <v>672</v>
      </c>
      <c r="B31" s="123" t="s">
        <v>673</v>
      </c>
      <c r="C31" s="123" t="s">
        <v>674</v>
      </c>
    </row>
    <row r="32" spans="1:3" x14ac:dyDescent="0.45">
      <c r="A32" s="10" t="s">
        <v>675</v>
      </c>
      <c r="B32" s="123" t="s">
        <v>676</v>
      </c>
      <c r="C32" s="123" t="s">
        <v>676</v>
      </c>
    </row>
    <row r="33" spans="1:3" x14ac:dyDescent="0.45">
      <c r="A33" s="10" t="s">
        <v>677</v>
      </c>
      <c r="B33" s="311" t="s">
        <v>1199</v>
      </c>
      <c r="C33" s="311" t="s">
        <v>1199</v>
      </c>
    </row>
    <row r="34" spans="1:3" x14ac:dyDescent="0.45">
      <c r="A34" s="289" t="s">
        <v>1188</v>
      </c>
      <c r="B34" s="123" t="s">
        <v>1200</v>
      </c>
      <c r="C34" s="123" t="s">
        <v>1200</v>
      </c>
    </row>
    <row r="35" spans="1:3" x14ac:dyDescent="0.45">
      <c r="A35" s="1" t="s">
        <v>678</v>
      </c>
      <c r="B35" s="2" t="s">
        <v>679</v>
      </c>
      <c r="C35" s="2" t="s">
        <v>679</v>
      </c>
    </row>
    <row r="36" spans="1:3" x14ac:dyDescent="0.45">
      <c r="A36" s="3" t="s">
        <v>680</v>
      </c>
      <c r="B36" s="2" t="s">
        <v>259</v>
      </c>
      <c r="C36" s="2" t="s">
        <v>259</v>
      </c>
    </row>
    <row r="37" spans="1:3" x14ac:dyDescent="0.45">
      <c r="A37" s="10" t="s">
        <v>681</v>
      </c>
      <c r="B37" s="2" t="s">
        <v>682</v>
      </c>
      <c r="C37" s="2" t="s">
        <v>682</v>
      </c>
    </row>
    <row r="38" spans="1:3" x14ac:dyDescent="0.45">
      <c r="A38" s="10" t="s">
        <v>683</v>
      </c>
      <c r="B38" s="2" t="s">
        <v>684</v>
      </c>
      <c r="C38" s="2" t="s">
        <v>684</v>
      </c>
    </row>
    <row r="39" spans="1:3" x14ac:dyDescent="0.45">
      <c r="A39" s="10" t="s">
        <v>685</v>
      </c>
      <c r="B39" s="62" t="s">
        <v>686</v>
      </c>
      <c r="C39" s="62" t="s">
        <v>686</v>
      </c>
    </row>
    <row r="40" spans="1:3" x14ac:dyDescent="0.45">
      <c r="A40" s="10" t="s">
        <v>687</v>
      </c>
      <c r="B40" s="62" t="s">
        <v>1204</v>
      </c>
      <c r="C40" s="62" t="s">
        <v>1204</v>
      </c>
    </row>
    <row r="41" spans="1:3" x14ac:dyDescent="0.45">
      <c r="A41" s="10" t="s">
        <v>688</v>
      </c>
      <c r="B41" s="62" t="s">
        <v>1486</v>
      </c>
      <c r="C41" s="62" t="s">
        <v>1486</v>
      </c>
    </row>
    <row r="42" spans="1:3" x14ac:dyDescent="0.45">
      <c r="A42" s="289" t="s">
        <v>1463</v>
      </c>
      <c r="B42" s="62" t="s">
        <v>1491</v>
      </c>
      <c r="C42" s="62" t="s">
        <v>1492</v>
      </c>
    </row>
    <row r="43" spans="1:3" x14ac:dyDescent="0.45">
      <c r="A43" s="289" t="s">
        <v>1523</v>
      </c>
      <c r="B43" s="62" t="s">
        <v>1525</v>
      </c>
      <c r="C43" s="62" t="s">
        <v>1524</v>
      </c>
    </row>
    <row r="44" spans="1:3" x14ac:dyDescent="0.45">
      <c r="A44" s="3" t="s">
        <v>689</v>
      </c>
      <c r="B44" s="13" t="s">
        <v>259</v>
      </c>
      <c r="C44" s="13" t="s">
        <v>259</v>
      </c>
    </row>
    <row r="45" spans="1:3" x14ac:dyDescent="0.45">
      <c r="A45" s="10" t="s">
        <v>690</v>
      </c>
      <c r="B45" s="2" t="s">
        <v>691</v>
      </c>
      <c r="C45" s="2" t="s">
        <v>691</v>
      </c>
    </row>
    <row r="46" spans="1:3" x14ac:dyDescent="0.45">
      <c r="A46" s="10" t="s">
        <v>692</v>
      </c>
      <c r="B46" s="62" t="s">
        <v>693</v>
      </c>
      <c r="C46" s="62" t="s">
        <v>693</v>
      </c>
    </row>
    <row r="47" spans="1:3" x14ac:dyDescent="0.45">
      <c r="A47" s="10" t="s">
        <v>694</v>
      </c>
      <c r="B47" s="62" t="s">
        <v>695</v>
      </c>
      <c r="C47" s="62" t="s">
        <v>695</v>
      </c>
    </row>
    <row r="48" spans="1:3" x14ac:dyDescent="0.45">
      <c r="A48" s="10" t="s">
        <v>696</v>
      </c>
      <c r="B48" s="2" t="s">
        <v>697</v>
      </c>
      <c r="C48" s="2" t="s">
        <v>697</v>
      </c>
    </row>
    <row r="49" spans="1:3" x14ac:dyDescent="0.45">
      <c r="A49" s="10" t="s">
        <v>698</v>
      </c>
      <c r="B49" s="2" t="s">
        <v>699</v>
      </c>
      <c r="C49" s="2" t="s">
        <v>700</v>
      </c>
    </row>
    <row r="50" spans="1:3" x14ac:dyDescent="0.45">
      <c r="A50" s="10" t="s">
        <v>701</v>
      </c>
      <c r="B50" s="2" t="s">
        <v>702</v>
      </c>
      <c r="C50" s="2" t="s">
        <v>703</v>
      </c>
    </row>
    <row r="51" spans="1:3" x14ac:dyDescent="0.45">
      <c r="A51" s="10" t="s">
        <v>704</v>
      </c>
      <c r="B51" s="2" t="s">
        <v>705</v>
      </c>
      <c r="C51" s="2" t="s">
        <v>706</v>
      </c>
    </row>
    <row r="52" spans="1:3" x14ac:dyDescent="0.45">
      <c r="A52" s="10" t="s">
        <v>707</v>
      </c>
      <c r="B52" s="2" t="s">
        <v>708</v>
      </c>
      <c r="C52" s="2" t="s">
        <v>709</v>
      </c>
    </row>
    <row r="53" spans="1:3" x14ac:dyDescent="0.45">
      <c r="A53" s="289" t="s">
        <v>1190</v>
      </c>
      <c r="B53" s="2" t="s">
        <v>1201</v>
      </c>
      <c r="C53" s="2" t="s">
        <v>1201</v>
      </c>
    </row>
    <row r="54" spans="1:3" x14ac:dyDescent="0.45">
      <c r="A54" s="289" t="s">
        <v>1191</v>
      </c>
      <c r="B54" s="2" t="s">
        <v>1202</v>
      </c>
      <c r="C54" s="2" t="s">
        <v>1202</v>
      </c>
    </row>
    <row r="55" spans="1:3" x14ac:dyDescent="0.45">
      <c r="A55" s="289" t="s">
        <v>1192</v>
      </c>
      <c r="B55" s="60" t="s">
        <v>1203</v>
      </c>
      <c r="C55" s="60" t="s">
        <v>1203</v>
      </c>
    </row>
    <row r="56" spans="1:3" x14ac:dyDescent="0.45">
      <c r="A56" s="3" t="s">
        <v>710</v>
      </c>
      <c r="B56" s="2" t="s">
        <v>259</v>
      </c>
      <c r="C56" s="2" t="s">
        <v>259</v>
      </c>
    </row>
    <row r="57" spans="1:3" x14ac:dyDescent="0.45">
      <c r="A57" s="10" t="s">
        <v>711</v>
      </c>
      <c r="B57" s="2" t="s">
        <v>712</v>
      </c>
      <c r="C57" s="2" t="s">
        <v>712</v>
      </c>
    </row>
    <row r="58" spans="1:3" x14ac:dyDescent="0.45">
      <c r="A58" s="10" t="s">
        <v>713</v>
      </c>
      <c r="B58" s="2" t="s">
        <v>714</v>
      </c>
      <c r="C58" s="2" t="s">
        <v>715</v>
      </c>
    </row>
    <row r="59" spans="1:3" x14ac:dyDescent="0.45">
      <c r="A59" s="10" t="s">
        <v>716</v>
      </c>
      <c r="B59" s="2" t="s">
        <v>717</v>
      </c>
      <c r="C59" s="2" t="s">
        <v>717</v>
      </c>
    </row>
    <row r="60" spans="1:3" x14ac:dyDescent="0.45">
      <c r="A60" s="10" t="s">
        <v>718</v>
      </c>
      <c r="B60" s="2" t="s">
        <v>719</v>
      </c>
      <c r="C60" s="2" t="s">
        <v>719</v>
      </c>
    </row>
    <row r="61" spans="1:3" x14ac:dyDescent="0.45">
      <c r="A61" s="10" t="s">
        <v>720</v>
      </c>
      <c r="B61" s="2" t="s">
        <v>721</v>
      </c>
      <c r="C61" s="2" t="s">
        <v>722</v>
      </c>
    </row>
    <row r="62" spans="1:3" x14ac:dyDescent="0.45">
      <c r="A62" s="10" t="s">
        <v>723</v>
      </c>
      <c r="B62" s="2" t="s">
        <v>724</v>
      </c>
      <c r="C62" s="2" t="s">
        <v>724</v>
      </c>
    </row>
    <row r="63" spans="1:3" x14ac:dyDescent="0.45">
      <c r="A63" s="10" t="s">
        <v>725</v>
      </c>
      <c r="B63" s="2" t="s">
        <v>726</v>
      </c>
      <c r="C63" s="2" t="s">
        <v>727</v>
      </c>
    </row>
    <row r="64" spans="1:3" x14ac:dyDescent="0.45">
      <c r="A64" s="10" t="s">
        <v>728</v>
      </c>
      <c r="B64" s="2" t="s">
        <v>729</v>
      </c>
      <c r="C64" s="2" t="s">
        <v>729</v>
      </c>
    </row>
    <row r="65" spans="1:3" x14ac:dyDescent="0.45">
      <c r="A65" s="10" t="s">
        <v>730</v>
      </c>
      <c r="B65" s="13" t="s">
        <v>731</v>
      </c>
      <c r="C65" s="13" t="s">
        <v>731</v>
      </c>
    </row>
    <row r="66" spans="1:3" x14ac:dyDescent="0.45">
      <c r="A66" s="10" t="s">
        <v>732</v>
      </c>
      <c r="B66" s="13" t="s">
        <v>733</v>
      </c>
      <c r="C66" s="13" t="s">
        <v>734</v>
      </c>
    </row>
    <row r="67" spans="1:3" x14ac:dyDescent="0.45">
      <c r="A67" s="3" t="s">
        <v>735</v>
      </c>
      <c r="B67" s="147" t="s">
        <v>259</v>
      </c>
      <c r="C67" s="147" t="s">
        <v>259</v>
      </c>
    </row>
    <row r="68" spans="1:3" x14ac:dyDescent="0.45">
      <c r="A68" s="10" t="s">
        <v>736</v>
      </c>
      <c r="B68" s="2" t="s">
        <v>737</v>
      </c>
      <c r="C68" s="2" t="s">
        <v>738</v>
      </c>
    </row>
    <row r="69" spans="1:3" x14ac:dyDescent="0.45">
      <c r="A69" s="10" t="s">
        <v>739</v>
      </c>
      <c r="B69" s="2" t="s">
        <v>740</v>
      </c>
      <c r="C69" s="2" t="s">
        <v>741</v>
      </c>
    </row>
    <row r="70" spans="1:3" x14ac:dyDescent="0.45">
      <c r="A70" s="10" t="s">
        <v>742</v>
      </c>
      <c r="B70" s="2" t="s">
        <v>743</v>
      </c>
      <c r="C70" s="2" t="s">
        <v>744</v>
      </c>
    </row>
    <row r="71" spans="1:3" x14ac:dyDescent="0.45">
      <c r="A71" s="10" t="s">
        <v>745</v>
      </c>
      <c r="B71" s="2" t="s">
        <v>746</v>
      </c>
      <c r="C71" s="2" t="s">
        <v>747</v>
      </c>
    </row>
    <row r="72" spans="1:3" x14ac:dyDescent="0.45">
      <c r="A72" s="3" t="s">
        <v>748</v>
      </c>
      <c r="B72" s="2" t="s">
        <v>259</v>
      </c>
      <c r="C72" s="2" t="s">
        <v>259</v>
      </c>
    </row>
    <row r="73" spans="1:3" x14ac:dyDescent="0.45">
      <c r="A73" s="10" t="s">
        <v>749</v>
      </c>
      <c r="B73" s="62" t="s">
        <v>750</v>
      </c>
      <c r="C73" s="62" t="s">
        <v>751</v>
      </c>
    </row>
    <row r="74" spans="1:3" x14ac:dyDescent="0.45">
      <c r="A74" s="3" t="s">
        <v>385</v>
      </c>
      <c r="B74" s="13" t="s">
        <v>229</v>
      </c>
      <c r="C74" s="13" t="s">
        <v>229</v>
      </c>
    </row>
    <row r="75" spans="1:3" x14ac:dyDescent="0.45">
      <c r="A75" s="3" t="s">
        <v>752</v>
      </c>
      <c r="B75" s="13" t="s">
        <v>259</v>
      </c>
      <c r="C75" s="13" t="s">
        <v>259</v>
      </c>
    </row>
    <row r="76" spans="1:3" x14ac:dyDescent="0.45">
      <c r="A76" s="10" t="s">
        <v>753</v>
      </c>
      <c r="B76" s="2" t="s">
        <v>754</v>
      </c>
      <c r="C76" s="2" t="s">
        <v>754</v>
      </c>
    </row>
    <row r="77" spans="1:3" x14ac:dyDescent="0.45">
      <c r="A77" s="10" t="s">
        <v>755</v>
      </c>
      <c r="B77" s="2" t="s">
        <v>756</v>
      </c>
      <c r="C77" s="2" t="s">
        <v>757</v>
      </c>
    </row>
    <row r="78" spans="1:3" x14ac:dyDescent="0.45">
      <c r="A78" s="10" t="s">
        <v>758</v>
      </c>
      <c r="B78" s="2" t="s">
        <v>759</v>
      </c>
      <c r="C78" s="2" t="s">
        <v>760</v>
      </c>
    </row>
    <row r="79" spans="1:3" x14ac:dyDescent="0.45">
      <c r="A79" s="10" t="s">
        <v>761</v>
      </c>
      <c r="B79" s="2" t="s">
        <v>762</v>
      </c>
      <c r="C79" s="2" t="s">
        <v>763</v>
      </c>
    </row>
    <row r="80" spans="1:3" x14ac:dyDescent="0.45">
      <c r="A80" s="10" t="s">
        <v>764</v>
      </c>
      <c r="B80" s="13" t="s">
        <v>765</v>
      </c>
      <c r="C80" s="13" t="s">
        <v>766</v>
      </c>
    </row>
    <row r="81" spans="1:3" x14ac:dyDescent="0.45">
      <c r="A81" s="10" t="s">
        <v>767</v>
      </c>
      <c r="B81" s="13" t="s">
        <v>768</v>
      </c>
      <c r="C81" s="13" t="s">
        <v>769</v>
      </c>
    </row>
    <row r="82" spans="1:3" x14ac:dyDescent="0.45">
      <c r="A82" s="3" t="s">
        <v>770</v>
      </c>
      <c r="B82" s="2" t="s">
        <v>259</v>
      </c>
      <c r="C82" s="2" t="s">
        <v>259</v>
      </c>
    </row>
    <row r="83" spans="1:3" x14ac:dyDescent="0.45">
      <c r="A83" s="10" t="s">
        <v>771</v>
      </c>
      <c r="B83" s="2" t="s">
        <v>772</v>
      </c>
      <c r="C83" s="2" t="s">
        <v>772</v>
      </c>
    </row>
    <row r="84" spans="1:3" x14ac:dyDescent="0.45">
      <c r="A84" s="10" t="s">
        <v>773</v>
      </c>
      <c r="B84" s="2" t="s">
        <v>774</v>
      </c>
      <c r="C84" s="2" t="s">
        <v>775</v>
      </c>
    </row>
    <row r="85" spans="1:3" x14ac:dyDescent="0.45">
      <c r="A85" s="10" t="s">
        <v>776</v>
      </c>
      <c r="B85" s="2" t="s">
        <v>777</v>
      </c>
      <c r="C85" s="2" t="s">
        <v>778</v>
      </c>
    </row>
    <row r="86" spans="1:3" x14ac:dyDescent="0.45">
      <c r="A86" s="1" t="s">
        <v>779</v>
      </c>
      <c r="B86" s="62" t="s">
        <v>780</v>
      </c>
      <c r="C86" s="62" t="s">
        <v>780</v>
      </c>
    </row>
    <row r="87" spans="1:3" x14ac:dyDescent="0.45">
      <c r="A87" s="3" t="s">
        <v>781</v>
      </c>
      <c r="B87" s="147" t="s">
        <v>259</v>
      </c>
      <c r="C87" s="147" t="s">
        <v>259</v>
      </c>
    </row>
    <row r="88" spans="1:3" x14ac:dyDescent="0.45">
      <c r="A88" s="10" t="s">
        <v>782</v>
      </c>
      <c r="B88" s="13" t="s">
        <v>783</v>
      </c>
      <c r="C88" s="13" t="s">
        <v>784</v>
      </c>
    </row>
    <row r="89" spans="1:3" x14ac:dyDescent="0.45">
      <c r="A89" s="10" t="s">
        <v>785</v>
      </c>
      <c r="B89" s="13" t="s">
        <v>786</v>
      </c>
      <c r="C89" s="13" t="s">
        <v>786</v>
      </c>
    </row>
    <row r="90" spans="1:3" x14ac:dyDescent="0.45">
      <c r="A90" s="289" t="s">
        <v>1207</v>
      </c>
      <c r="B90" s="13" t="s">
        <v>1210</v>
      </c>
      <c r="C90" s="13" t="s">
        <v>1210</v>
      </c>
    </row>
    <row r="91" spans="1:3" x14ac:dyDescent="0.45">
      <c r="A91" s="3" t="s">
        <v>787</v>
      </c>
      <c r="B91" s="147" t="s">
        <v>259</v>
      </c>
      <c r="C91" s="147" t="s">
        <v>259</v>
      </c>
    </row>
    <row r="92" spans="1:3" x14ac:dyDescent="0.45">
      <c r="A92" s="185" t="s">
        <v>788</v>
      </c>
      <c r="B92" s="2" t="s">
        <v>789</v>
      </c>
      <c r="C92" s="2" t="s">
        <v>789</v>
      </c>
    </row>
    <row r="93" spans="1:3" x14ac:dyDescent="0.45">
      <c r="A93" s="10" t="s">
        <v>790</v>
      </c>
      <c r="B93" s="13" t="s">
        <v>791</v>
      </c>
      <c r="C93" s="13" t="s">
        <v>792</v>
      </c>
    </row>
    <row r="94" spans="1:3" x14ac:dyDescent="0.45">
      <c r="A94" s="10" t="s">
        <v>793</v>
      </c>
      <c r="B94" s="13" t="s">
        <v>794</v>
      </c>
      <c r="C94" s="13" t="s">
        <v>795</v>
      </c>
    </row>
    <row r="95" spans="1:3" x14ac:dyDescent="0.45">
      <c r="A95" s="289" t="s">
        <v>1208</v>
      </c>
      <c r="B95" s="13" t="s">
        <v>1211</v>
      </c>
      <c r="C95" s="13" t="s">
        <v>1211</v>
      </c>
    </row>
    <row r="96" spans="1:3" x14ac:dyDescent="0.45">
      <c r="A96" s="289" t="s">
        <v>1209</v>
      </c>
      <c r="B96" s="312" t="s">
        <v>1212</v>
      </c>
      <c r="C96" s="312" t="s">
        <v>1212</v>
      </c>
    </row>
    <row r="97" spans="1:3" x14ac:dyDescent="0.45">
      <c r="A97" s="3" t="s">
        <v>796</v>
      </c>
      <c r="B97" s="13" t="s">
        <v>259</v>
      </c>
      <c r="C97" s="13" t="s">
        <v>259</v>
      </c>
    </row>
    <row r="98" spans="1:3" x14ac:dyDescent="0.45">
      <c r="A98" s="10" t="s">
        <v>797</v>
      </c>
      <c r="B98" s="2" t="s">
        <v>798</v>
      </c>
      <c r="C98" s="2" t="s">
        <v>798</v>
      </c>
    </row>
    <row r="99" spans="1:3" x14ac:dyDescent="0.45">
      <c r="A99" s="10" t="s">
        <v>799</v>
      </c>
      <c r="B99" s="2" t="s">
        <v>800</v>
      </c>
      <c r="C99" s="2" t="s">
        <v>800</v>
      </c>
    </row>
    <row r="100" spans="1:3" x14ac:dyDescent="0.45">
      <c r="A100" s="10" t="s">
        <v>801</v>
      </c>
      <c r="B100" s="2" t="s">
        <v>802</v>
      </c>
      <c r="C100" s="2" t="s">
        <v>803</v>
      </c>
    </row>
    <row r="101" spans="1:3" x14ac:dyDescent="0.45">
      <c r="A101" s="10" t="s">
        <v>804</v>
      </c>
      <c r="B101" s="2" t="s">
        <v>805</v>
      </c>
      <c r="C101" s="2" t="s">
        <v>805</v>
      </c>
    </row>
    <row r="102" spans="1:3" x14ac:dyDescent="0.45">
      <c r="A102" s="3" t="s">
        <v>748</v>
      </c>
      <c r="B102" s="13" t="s">
        <v>259</v>
      </c>
      <c r="C102" s="13" t="s">
        <v>259</v>
      </c>
    </row>
    <row r="103" spans="1:3" x14ac:dyDescent="0.45">
      <c r="A103" s="1" t="s">
        <v>806</v>
      </c>
      <c r="B103" s="2" t="s">
        <v>807</v>
      </c>
      <c r="C103" s="2" t="s">
        <v>807</v>
      </c>
    </row>
    <row r="104" spans="1:3" x14ac:dyDescent="0.45">
      <c r="A104" s="3" t="s">
        <v>808</v>
      </c>
      <c r="B104" s="2" t="s">
        <v>259</v>
      </c>
      <c r="C104" s="2" t="s">
        <v>259</v>
      </c>
    </row>
    <row r="105" spans="1:3" x14ac:dyDescent="0.45">
      <c r="A105" s="10" t="s">
        <v>809</v>
      </c>
      <c r="B105" s="2" t="s">
        <v>810</v>
      </c>
      <c r="C105" s="2" t="s">
        <v>810</v>
      </c>
    </row>
    <row r="106" spans="1:3" x14ac:dyDescent="0.45">
      <c r="A106" s="10" t="s">
        <v>811</v>
      </c>
      <c r="B106" s="2" t="s">
        <v>812</v>
      </c>
      <c r="C106" s="2" t="s">
        <v>812</v>
      </c>
    </row>
    <row r="107" spans="1:3" x14ac:dyDescent="0.45">
      <c r="A107" s="10" t="s">
        <v>813</v>
      </c>
      <c r="B107" s="2" t="s">
        <v>814</v>
      </c>
      <c r="C107" s="2" t="s">
        <v>815</v>
      </c>
    </row>
    <row r="108" spans="1:3" x14ac:dyDescent="0.45">
      <c r="A108" s="11" t="s">
        <v>816</v>
      </c>
      <c r="B108" s="2" t="s">
        <v>817</v>
      </c>
      <c r="C108" s="2" t="s">
        <v>817</v>
      </c>
    </row>
    <row r="109" spans="1:3" x14ac:dyDescent="0.45">
      <c r="A109" s="10" t="s">
        <v>818</v>
      </c>
      <c r="B109" s="2" t="s">
        <v>819</v>
      </c>
      <c r="C109" s="2" t="s">
        <v>820</v>
      </c>
    </row>
    <row r="110" spans="1:3" x14ac:dyDescent="0.45">
      <c r="A110" s="3" t="s">
        <v>821</v>
      </c>
      <c r="B110" s="13" t="s">
        <v>259</v>
      </c>
      <c r="C110" s="13" t="s">
        <v>259</v>
      </c>
    </row>
    <row r="111" spans="1:3" x14ac:dyDescent="0.45">
      <c r="A111" s="10" t="s">
        <v>822</v>
      </c>
      <c r="B111" s="13" t="s">
        <v>823</v>
      </c>
      <c r="C111" s="13" t="s">
        <v>823</v>
      </c>
    </row>
    <row r="112" spans="1:3" x14ac:dyDescent="0.45">
      <c r="A112" s="10" t="s">
        <v>824</v>
      </c>
      <c r="B112" s="2" t="s">
        <v>825</v>
      </c>
      <c r="C112" s="2" t="s">
        <v>825</v>
      </c>
    </row>
    <row r="113" spans="1:3" x14ac:dyDescent="0.45">
      <c r="A113" s="10" t="s">
        <v>826</v>
      </c>
      <c r="B113" s="2" t="s">
        <v>827</v>
      </c>
      <c r="C113" s="2" t="s">
        <v>827</v>
      </c>
    </row>
    <row r="114" spans="1:3" x14ac:dyDescent="0.45">
      <c r="A114" s="10" t="s">
        <v>828</v>
      </c>
      <c r="B114" s="2" t="s">
        <v>829</v>
      </c>
      <c r="C114" s="2" t="s">
        <v>829</v>
      </c>
    </row>
    <row r="115" spans="1:3" x14ac:dyDescent="0.45">
      <c r="A115" s="10" t="s">
        <v>830</v>
      </c>
      <c r="B115" s="2" t="s">
        <v>831</v>
      </c>
      <c r="C115" s="2" t="s">
        <v>831</v>
      </c>
    </row>
    <row r="116" spans="1:3" x14ac:dyDescent="0.45">
      <c r="A116" s="10" t="s">
        <v>832</v>
      </c>
      <c r="B116" s="2" t="s">
        <v>833</v>
      </c>
      <c r="C116" s="2" t="s">
        <v>833</v>
      </c>
    </row>
    <row r="117" spans="1:3" x14ac:dyDescent="0.45">
      <c r="A117" s="10" t="s">
        <v>834</v>
      </c>
      <c r="B117" s="2" t="s">
        <v>835</v>
      </c>
      <c r="C117" s="2" t="s">
        <v>835</v>
      </c>
    </row>
    <row r="118" spans="1:3" x14ac:dyDescent="0.45">
      <c r="A118" s="10" t="s">
        <v>836</v>
      </c>
      <c r="B118" s="2" t="s">
        <v>837</v>
      </c>
      <c r="C118" s="2" t="s">
        <v>837</v>
      </c>
    </row>
    <row r="119" spans="1:3" x14ac:dyDescent="0.45">
      <c r="A119" s="10" t="s">
        <v>838</v>
      </c>
      <c r="B119" s="2" t="s">
        <v>839</v>
      </c>
      <c r="C119" s="2" t="s">
        <v>840</v>
      </c>
    </row>
    <row r="120" spans="1:3" x14ac:dyDescent="0.45">
      <c r="A120" s="10" t="s">
        <v>841</v>
      </c>
      <c r="B120" s="2" t="s">
        <v>842</v>
      </c>
      <c r="C120" s="2" t="s">
        <v>842</v>
      </c>
    </row>
    <row r="121" spans="1:3" x14ac:dyDescent="0.45">
      <c r="A121" s="10" t="s">
        <v>843</v>
      </c>
      <c r="B121" s="2" t="s">
        <v>844</v>
      </c>
      <c r="C121" s="2" t="s">
        <v>844</v>
      </c>
    </row>
    <row r="122" spans="1:3" x14ac:dyDescent="0.45">
      <c r="A122" s="10" t="s">
        <v>845</v>
      </c>
      <c r="B122" s="2" t="s">
        <v>846</v>
      </c>
      <c r="C122" s="2" t="s">
        <v>846</v>
      </c>
    </row>
    <row r="123" spans="1:3" x14ac:dyDescent="0.45">
      <c r="A123" s="12" t="s">
        <v>847</v>
      </c>
      <c r="B123" s="2" t="s">
        <v>848</v>
      </c>
      <c r="C123" s="2" t="s">
        <v>849</v>
      </c>
    </row>
    <row r="124" spans="1:3" x14ac:dyDescent="0.45">
      <c r="A124" s="3" t="s">
        <v>453</v>
      </c>
      <c r="B124" s="13" t="s">
        <v>229</v>
      </c>
      <c r="C124" s="13" t="s">
        <v>229</v>
      </c>
    </row>
    <row r="125" spans="1:3" x14ac:dyDescent="0.45">
      <c r="A125" s="3" t="s">
        <v>850</v>
      </c>
      <c r="B125" s="13" t="s">
        <v>259</v>
      </c>
      <c r="C125" s="13" t="s">
        <v>259</v>
      </c>
    </row>
    <row r="126" spans="1:3" x14ac:dyDescent="0.45">
      <c r="A126" s="289" t="s">
        <v>456</v>
      </c>
      <c r="B126" s="2" t="s">
        <v>851</v>
      </c>
      <c r="C126" s="2" t="s">
        <v>851</v>
      </c>
    </row>
    <row r="127" spans="1:3" x14ac:dyDescent="0.45">
      <c r="A127" s="297" t="s">
        <v>457</v>
      </c>
      <c r="B127" s="2" t="s">
        <v>852</v>
      </c>
      <c r="C127" s="2" t="s">
        <v>852</v>
      </c>
    </row>
    <row r="128" spans="1:3" x14ac:dyDescent="0.45">
      <c r="A128" s="289" t="s">
        <v>147</v>
      </c>
      <c r="B128" s="2" t="s">
        <v>853</v>
      </c>
      <c r="C128" s="2" t="s">
        <v>853</v>
      </c>
    </row>
    <row r="129" spans="1:3" x14ac:dyDescent="0.45">
      <c r="A129" s="289" t="s">
        <v>155</v>
      </c>
      <c r="B129" s="2" t="s">
        <v>854</v>
      </c>
      <c r="C129" s="2" t="s">
        <v>854</v>
      </c>
    </row>
    <row r="130" spans="1:3" x14ac:dyDescent="0.45">
      <c r="A130" s="289" t="s">
        <v>148</v>
      </c>
      <c r="B130" s="2" t="s">
        <v>855</v>
      </c>
      <c r="C130" s="2" t="s">
        <v>855</v>
      </c>
    </row>
    <row r="131" spans="1:3" x14ac:dyDescent="0.45">
      <c r="A131" s="289" t="s">
        <v>140</v>
      </c>
      <c r="B131" s="2" t="s">
        <v>856</v>
      </c>
      <c r="C131" s="2" t="s">
        <v>856</v>
      </c>
    </row>
    <row r="132" spans="1:3" x14ac:dyDescent="0.45">
      <c r="A132" s="299" t="s">
        <v>458</v>
      </c>
      <c r="B132" s="13" t="s">
        <v>857</v>
      </c>
      <c r="C132" s="13" t="s">
        <v>857</v>
      </c>
    </row>
    <row r="133" spans="1:3" x14ac:dyDescent="0.45">
      <c r="A133" s="300" t="s">
        <v>460</v>
      </c>
      <c r="B133" s="233" t="s">
        <v>259</v>
      </c>
      <c r="C133" s="233" t="s">
        <v>259</v>
      </c>
    </row>
    <row r="134" spans="1:3" x14ac:dyDescent="0.45">
      <c r="A134" s="297" t="s">
        <v>461</v>
      </c>
      <c r="B134" s="25" t="s">
        <v>858</v>
      </c>
      <c r="C134" s="25" t="s">
        <v>858</v>
      </c>
    </row>
    <row r="135" spans="1:3" x14ac:dyDescent="0.45">
      <c r="A135" s="297" t="s">
        <v>462</v>
      </c>
      <c r="B135" s="25" t="s">
        <v>859</v>
      </c>
      <c r="C135" s="25" t="s">
        <v>859</v>
      </c>
    </row>
    <row r="136" spans="1:3" x14ac:dyDescent="0.45">
      <c r="A136" s="3" t="s">
        <v>860</v>
      </c>
      <c r="B136" s="13" t="s">
        <v>259</v>
      </c>
      <c r="C136" s="13" t="s">
        <v>259</v>
      </c>
    </row>
    <row r="137" spans="1:3" x14ac:dyDescent="0.45">
      <c r="A137" s="10" t="s">
        <v>861</v>
      </c>
      <c r="B137" s="2" t="s">
        <v>862</v>
      </c>
      <c r="C137" s="2" t="s">
        <v>862</v>
      </c>
    </row>
    <row r="138" spans="1:3" x14ac:dyDescent="0.45">
      <c r="A138" s="10" t="s">
        <v>863</v>
      </c>
      <c r="B138" s="2" t="s">
        <v>864</v>
      </c>
      <c r="C138" s="2" t="s">
        <v>865</v>
      </c>
    </row>
    <row r="139" spans="1:3" x14ac:dyDescent="0.45">
      <c r="A139" s="10" t="s">
        <v>866</v>
      </c>
      <c r="B139" s="2" t="s">
        <v>867</v>
      </c>
      <c r="C139" s="2" t="s">
        <v>868</v>
      </c>
    </row>
    <row r="140" spans="1:3" x14ac:dyDescent="0.45">
      <c r="A140" s="10" t="s">
        <v>869</v>
      </c>
      <c r="B140" s="2" t="s">
        <v>870</v>
      </c>
      <c r="C140" s="2" t="s">
        <v>871</v>
      </c>
    </row>
    <row r="141" spans="1:3" x14ac:dyDescent="0.45">
      <c r="A141" s="10" t="s">
        <v>872</v>
      </c>
      <c r="B141" s="2" t="s">
        <v>873</v>
      </c>
      <c r="C141" s="2" t="s">
        <v>874</v>
      </c>
    </row>
    <row r="142" spans="1:3" x14ac:dyDescent="0.45">
      <c r="A142" s="10" t="s">
        <v>875</v>
      </c>
      <c r="B142" s="2" t="s">
        <v>876</v>
      </c>
      <c r="C142" s="2" t="s">
        <v>877</v>
      </c>
    </row>
    <row r="143" spans="1:3" x14ac:dyDescent="0.45">
      <c r="A143" s="10" t="s">
        <v>878</v>
      </c>
      <c r="B143" s="2" t="s">
        <v>879</v>
      </c>
      <c r="C143" s="2" t="s">
        <v>879</v>
      </c>
    </row>
    <row r="144" spans="1:3" x14ac:dyDescent="0.45">
      <c r="A144" s="10" t="s">
        <v>880</v>
      </c>
      <c r="B144" s="2" t="s">
        <v>881</v>
      </c>
      <c r="C144" s="2" t="s">
        <v>881</v>
      </c>
    </row>
    <row r="145" spans="1:3" x14ac:dyDescent="0.45">
      <c r="A145" s="10" t="s">
        <v>882</v>
      </c>
      <c r="B145" s="2" t="s">
        <v>883</v>
      </c>
      <c r="C145" s="2" t="s">
        <v>883</v>
      </c>
    </row>
    <row r="146" spans="1:3" x14ac:dyDescent="0.45">
      <c r="A146" s="10" t="s">
        <v>884</v>
      </c>
      <c r="B146" s="2" t="s">
        <v>885</v>
      </c>
      <c r="C146" s="2" t="s">
        <v>886</v>
      </c>
    </row>
    <row r="147" spans="1:3" x14ac:dyDescent="0.45">
      <c r="A147" s="10" t="s">
        <v>887</v>
      </c>
      <c r="B147" s="2" t="s">
        <v>888</v>
      </c>
      <c r="C147" s="2" t="s">
        <v>888</v>
      </c>
    </row>
    <row r="148" spans="1:3" x14ac:dyDescent="0.45">
      <c r="A148" s="10" t="s">
        <v>889</v>
      </c>
      <c r="B148" s="2" t="s">
        <v>890</v>
      </c>
      <c r="C148" s="2" t="s">
        <v>890</v>
      </c>
    </row>
    <row r="149" spans="1:3" x14ac:dyDescent="0.45">
      <c r="A149" s="10" t="s">
        <v>891</v>
      </c>
      <c r="B149" s="2" t="s">
        <v>892</v>
      </c>
      <c r="C149" s="2" t="s">
        <v>892</v>
      </c>
    </row>
    <row r="150" spans="1:3" x14ac:dyDescent="0.45">
      <c r="A150" s="10" t="s">
        <v>893</v>
      </c>
      <c r="B150" s="2" t="s">
        <v>894</v>
      </c>
      <c r="C150" s="2" t="s">
        <v>894</v>
      </c>
    </row>
    <row r="151" spans="1:3" x14ac:dyDescent="0.45">
      <c r="A151" s="10" t="s">
        <v>895</v>
      </c>
      <c r="B151" s="2" t="s">
        <v>896</v>
      </c>
      <c r="C151" s="2" t="s">
        <v>896</v>
      </c>
    </row>
    <row r="152" spans="1:3" x14ac:dyDescent="0.45">
      <c r="A152" s="289" t="s">
        <v>1487</v>
      </c>
      <c r="B152" s="2" t="s">
        <v>1488</v>
      </c>
      <c r="C152" s="2" t="s">
        <v>1488</v>
      </c>
    </row>
    <row r="153" spans="1:3" x14ac:dyDescent="0.45">
      <c r="A153" s="3" t="s">
        <v>897</v>
      </c>
      <c r="B153" s="2" t="s">
        <v>259</v>
      </c>
      <c r="C153" s="2" t="s">
        <v>259</v>
      </c>
    </row>
    <row r="154" spans="1:3" x14ac:dyDescent="0.45">
      <c r="A154" s="10" t="s">
        <v>898</v>
      </c>
      <c r="B154" s="2" t="s">
        <v>899</v>
      </c>
      <c r="C154" s="2" t="s">
        <v>899</v>
      </c>
    </row>
    <row r="155" spans="1:3" x14ac:dyDescent="0.45">
      <c r="A155" s="10" t="s">
        <v>900</v>
      </c>
      <c r="B155" s="2" t="s">
        <v>901</v>
      </c>
      <c r="C155" s="2" t="s">
        <v>902</v>
      </c>
    </row>
    <row r="156" spans="1:3" x14ac:dyDescent="0.45">
      <c r="A156" s="10" t="s">
        <v>903</v>
      </c>
      <c r="B156" s="2" t="s">
        <v>904</v>
      </c>
      <c r="C156" s="2" t="s">
        <v>904</v>
      </c>
    </row>
    <row r="157" spans="1:3" x14ac:dyDescent="0.45">
      <c r="A157" s="10" t="s">
        <v>905</v>
      </c>
      <c r="B157" s="2" t="s">
        <v>1252</v>
      </c>
      <c r="C157" s="2" t="s">
        <v>1252</v>
      </c>
    </row>
    <row r="158" spans="1:3" x14ac:dyDescent="0.45">
      <c r="A158" s="10" t="s">
        <v>906</v>
      </c>
      <c r="B158" s="2" t="s">
        <v>907</v>
      </c>
      <c r="C158" s="2" t="s">
        <v>908</v>
      </c>
    </row>
    <row r="159" spans="1:3" x14ac:dyDescent="0.45">
      <c r="A159" s="10" t="s">
        <v>909</v>
      </c>
      <c r="B159" s="2" t="s">
        <v>910</v>
      </c>
      <c r="C159" s="2" t="s">
        <v>910</v>
      </c>
    </row>
    <row r="160" spans="1:3" x14ac:dyDescent="0.45">
      <c r="A160" s="3" t="s">
        <v>911</v>
      </c>
      <c r="B160" s="13" t="s">
        <v>259</v>
      </c>
      <c r="C160" s="13" t="s">
        <v>259</v>
      </c>
    </row>
    <row r="161" spans="1:3" x14ac:dyDescent="0.45">
      <c r="A161" s="3" t="s">
        <v>912</v>
      </c>
      <c r="B161" s="13" t="s">
        <v>259</v>
      </c>
      <c r="C161" s="13" t="s">
        <v>259</v>
      </c>
    </row>
    <row r="162" spans="1:3" x14ac:dyDescent="0.45">
      <c r="A162" s="10" t="s">
        <v>913</v>
      </c>
      <c r="B162" s="2" t="s">
        <v>914</v>
      </c>
      <c r="C162" s="2" t="s">
        <v>914</v>
      </c>
    </row>
    <row r="163" spans="1:3" x14ac:dyDescent="0.45">
      <c r="A163" s="10" t="s">
        <v>915</v>
      </c>
      <c r="B163" s="2" t="s">
        <v>916</v>
      </c>
      <c r="C163" s="2" t="s">
        <v>916</v>
      </c>
    </row>
    <row r="164" spans="1:3" x14ac:dyDescent="0.45">
      <c r="A164" s="10" t="s">
        <v>917</v>
      </c>
      <c r="B164" s="2" t="s">
        <v>918</v>
      </c>
      <c r="C164" s="2" t="s">
        <v>918</v>
      </c>
    </row>
    <row r="165" spans="1:3" x14ac:dyDescent="0.45">
      <c r="A165" s="3" t="s">
        <v>919</v>
      </c>
      <c r="B165" s="2" t="s">
        <v>259</v>
      </c>
      <c r="C165" s="2" t="s">
        <v>259</v>
      </c>
    </row>
    <row r="166" spans="1:3" x14ac:dyDescent="0.45">
      <c r="A166" s="10" t="s">
        <v>920</v>
      </c>
      <c r="B166" s="2" t="s">
        <v>921</v>
      </c>
      <c r="C166" s="2" t="s">
        <v>921</v>
      </c>
    </row>
    <row r="167" spans="1:3" x14ac:dyDescent="0.45">
      <c r="A167" s="10" t="s">
        <v>922</v>
      </c>
      <c r="B167" s="2" t="s">
        <v>923</v>
      </c>
      <c r="C167" s="2" t="s">
        <v>923</v>
      </c>
    </row>
    <row r="168" spans="1:3" x14ac:dyDescent="0.45">
      <c r="A168" s="10" t="s">
        <v>924</v>
      </c>
      <c r="B168" s="2" t="s">
        <v>925</v>
      </c>
      <c r="C168" s="2" t="s">
        <v>926</v>
      </c>
    </row>
    <row r="169" spans="1:3" x14ac:dyDescent="0.45">
      <c r="A169" s="10" t="s">
        <v>927</v>
      </c>
      <c r="B169" s="2" t="s">
        <v>928</v>
      </c>
      <c r="C169" s="2" t="s">
        <v>928</v>
      </c>
    </row>
    <row r="170" spans="1:3" x14ac:dyDescent="0.45">
      <c r="A170" s="10" t="s">
        <v>929</v>
      </c>
      <c r="B170" s="2" t="s">
        <v>930</v>
      </c>
      <c r="C170" s="2" t="s">
        <v>930</v>
      </c>
    </row>
    <row r="171" spans="1:3" x14ac:dyDescent="0.45">
      <c r="A171" s="10" t="s">
        <v>931</v>
      </c>
      <c r="B171" s="2" t="s">
        <v>932</v>
      </c>
      <c r="C171" s="2" t="s">
        <v>932</v>
      </c>
    </row>
    <row r="172" spans="1:3" x14ac:dyDescent="0.45">
      <c r="A172" s="3" t="s">
        <v>933</v>
      </c>
      <c r="B172" s="13" t="s">
        <v>259</v>
      </c>
      <c r="C172" s="13" t="s">
        <v>259</v>
      </c>
    </row>
    <row r="173" spans="1:3" x14ac:dyDescent="0.45">
      <c r="A173" s="10" t="s">
        <v>934</v>
      </c>
      <c r="B173" s="2" t="s">
        <v>935</v>
      </c>
      <c r="C173" s="2" t="s">
        <v>936</v>
      </c>
    </row>
    <row r="174" spans="1:3" x14ac:dyDescent="0.45">
      <c r="A174" s="10" t="s">
        <v>937</v>
      </c>
      <c r="B174" s="2" t="s">
        <v>938</v>
      </c>
      <c r="C174" s="2" t="s">
        <v>939</v>
      </c>
    </row>
    <row r="175" spans="1:3" x14ac:dyDescent="0.45">
      <c r="A175" s="3" t="s">
        <v>940</v>
      </c>
      <c r="B175" s="2" t="s">
        <v>259</v>
      </c>
      <c r="C175" s="2" t="s">
        <v>259</v>
      </c>
    </row>
    <row r="176" spans="1:3" x14ac:dyDescent="0.45">
      <c r="A176" s="10" t="s">
        <v>941</v>
      </c>
      <c r="B176" s="2" t="s">
        <v>942</v>
      </c>
      <c r="C176" s="2" t="s">
        <v>943</v>
      </c>
    </row>
    <row r="177" spans="1:3" x14ac:dyDescent="0.45">
      <c r="A177" s="10" t="s">
        <v>944</v>
      </c>
      <c r="B177" s="2" t="s">
        <v>945</v>
      </c>
      <c r="C177" s="2" t="s">
        <v>945</v>
      </c>
    </row>
    <row r="178" spans="1:3" x14ac:dyDescent="0.45">
      <c r="A178" s="3" t="s">
        <v>946</v>
      </c>
      <c r="B178" s="13" t="s">
        <v>259</v>
      </c>
      <c r="C178" s="13" t="s">
        <v>259</v>
      </c>
    </row>
    <row r="179" spans="1:3" x14ac:dyDescent="0.45">
      <c r="A179" s="10" t="s">
        <v>947</v>
      </c>
      <c r="B179" s="2" t="s">
        <v>948</v>
      </c>
      <c r="C179" s="2" t="s">
        <v>949</v>
      </c>
    </row>
    <row r="180" spans="1:3" x14ac:dyDescent="0.45">
      <c r="A180" s="10" t="s">
        <v>950</v>
      </c>
      <c r="B180" s="2" t="s">
        <v>951</v>
      </c>
      <c r="C180" s="2" t="s">
        <v>951</v>
      </c>
    </row>
    <row r="181" spans="1:3" x14ac:dyDescent="0.45">
      <c r="A181" s="10" t="s">
        <v>952</v>
      </c>
      <c r="B181" s="2" t="s">
        <v>953</v>
      </c>
      <c r="C181" s="2" t="s">
        <v>954</v>
      </c>
    </row>
    <row r="182" spans="1:3" x14ac:dyDescent="0.45">
      <c r="A182" s="10" t="s">
        <v>955</v>
      </c>
      <c r="B182" s="2" t="s">
        <v>956</v>
      </c>
      <c r="C182" s="2" t="s">
        <v>956</v>
      </c>
    </row>
    <row r="183" spans="1:3" x14ac:dyDescent="0.45">
      <c r="A183" s="289" t="s">
        <v>1254</v>
      </c>
      <c r="B183" s="13" t="s">
        <v>1256</v>
      </c>
      <c r="C183" s="13" t="s">
        <v>1255</v>
      </c>
    </row>
    <row r="184" spans="1:3" x14ac:dyDescent="0.45">
      <c r="A184" s="3" t="s">
        <v>541</v>
      </c>
      <c r="B184" s="13" t="s">
        <v>229</v>
      </c>
      <c r="C184" s="13" t="s">
        <v>229</v>
      </c>
    </row>
    <row r="185" spans="1:3" x14ac:dyDescent="0.45">
      <c r="A185" s="3" t="s">
        <v>957</v>
      </c>
      <c r="B185" s="13" t="s">
        <v>259</v>
      </c>
      <c r="C185" s="13" t="s">
        <v>259</v>
      </c>
    </row>
    <row r="186" spans="1:3" x14ac:dyDescent="0.45">
      <c r="A186" s="1" t="s">
        <v>958</v>
      </c>
      <c r="B186" s="2" t="s">
        <v>959</v>
      </c>
      <c r="C186" s="2" t="s">
        <v>960</v>
      </c>
    </row>
    <row r="187" spans="1:3" x14ac:dyDescent="0.45">
      <c r="A187" s="10" t="s">
        <v>961</v>
      </c>
      <c r="B187" s="2" t="s">
        <v>962</v>
      </c>
      <c r="C187" s="2" t="s">
        <v>963</v>
      </c>
    </row>
    <row r="188" spans="1:3" x14ac:dyDescent="0.45">
      <c r="A188" s="10" t="s">
        <v>964</v>
      </c>
      <c r="B188" s="2" t="s">
        <v>965</v>
      </c>
      <c r="C188" s="2" t="s">
        <v>966</v>
      </c>
    </row>
    <row r="189" spans="1:3" x14ac:dyDescent="0.45">
      <c r="A189" s="10" t="s">
        <v>967</v>
      </c>
      <c r="B189" s="2" t="s">
        <v>968</v>
      </c>
      <c r="C189" s="2" t="s">
        <v>968</v>
      </c>
    </row>
    <row r="190" spans="1:3" x14ac:dyDescent="0.45">
      <c r="A190" s="10" t="s">
        <v>969</v>
      </c>
      <c r="B190" s="2" t="s">
        <v>970</v>
      </c>
      <c r="C190" s="2" t="s">
        <v>970</v>
      </c>
    </row>
    <row r="191" spans="1:3" x14ac:dyDescent="0.45">
      <c r="A191" s="10" t="s">
        <v>971</v>
      </c>
      <c r="B191" s="2" t="s">
        <v>972</v>
      </c>
      <c r="C191" s="2" t="s">
        <v>972</v>
      </c>
    </row>
    <row r="192" spans="1:3" x14ac:dyDescent="0.45">
      <c r="A192" s="10" t="s">
        <v>973</v>
      </c>
      <c r="B192" s="2" t="s">
        <v>974</v>
      </c>
      <c r="C192" s="2" t="s">
        <v>975</v>
      </c>
    </row>
    <row r="193" spans="1:3" x14ac:dyDescent="0.45">
      <c r="A193" s="10" t="s">
        <v>976</v>
      </c>
      <c r="B193" s="2" t="s">
        <v>977</v>
      </c>
      <c r="C193" s="2" t="s">
        <v>978</v>
      </c>
    </row>
    <row r="194" spans="1:3" x14ac:dyDescent="0.45">
      <c r="A194" s="10" t="s">
        <v>979</v>
      </c>
      <c r="B194" s="2" t="s">
        <v>980</v>
      </c>
      <c r="C194" s="2" t="s">
        <v>980</v>
      </c>
    </row>
    <row r="195" spans="1:3" x14ac:dyDescent="0.45">
      <c r="A195" s="10" t="s">
        <v>981</v>
      </c>
      <c r="B195" s="2" t="s">
        <v>982</v>
      </c>
      <c r="C195" s="2" t="s">
        <v>983</v>
      </c>
    </row>
    <row r="196" spans="1:3" x14ac:dyDescent="0.45">
      <c r="A196" s="3" t="s">
        <v>984</v>
      </c>
      <c r="B196" s="4" t="s">
        <v>259</v>
      </c>
      <c r="C196" s="4" t="s">
        <v>259</v>
      </c>
    </row>
    <row r="197" spans="1:3" x14ac:dyDescent="0.45">
      <c r="A197" s="10" t="s">
        <v>985</v>
      </c>
      <c r="B197" s="2" t="s">
        <v>986</v>
      </c>
      <c r="C197" s="2" t="s">
        <v>987</v>
      </c>
    </row>
    <row r="198" spans="1:3" x14ac:dyDescent="0.45">
      <c r="A198" s="299" t="s">
        <v>110</v>
      </c>
      <c r="B198" s="2"/>
      <c r="C198" s="2"/>
    </row>
    <row r="199" spans="1:3" x14ac:dyDescent="0.45">
      <c r="A199" s="299" t="s">
        <v>176</v>
      </c>
      <c r="B199" s="2" t="s">
        <v>988</v>
      </c>
      <c r="C199" s="2" t="s">
        <v>989</v>
      </c>
    </row>
    <row r="200" spans="1:3" x14ac:dyDescent="0.45">
      <c r="A200" s="289" t="s">
        <v>577</v>
      </c>
      <c r="B200" s="2" t="s">
        <v>990</v>
      </c>
      <c r="C200" s="2" t="s">
        <v>990</v>
      </c>
    </row>
    <row r="201" spans="1:3" x14ac:dyDescent="0.45">
      <c r="A201" s="299" t="s">
        <v>579</v>
      </c>
      <c r="B201" s="2" t="s">
        <v>991</v>
      </c>
      <c r="C201" s="2" t="s">
        <v>992</v>
      </c>
    </row>
    <row r="202" spans="1:3" x14ac:dyDescent="0.45">
      <c r="A202" s="289" t="s">
        <v>581</v>
      </c>
      <c r="B202" s="2" t="s">
        <v>993</v>
      </c>
      <c r="C202" s="2" t="s">
        <v>994</v>
      </c>
    </row>
    <row r="203" spans="1:3" x14ac:dyDescent="0.45">
      <c r="A203" s="10" t="s">
        <v>995</v>
      </c>
      <c r="B203" s="2" t="s">
        <v>996</v>
      </c>
      <c r="C203" s="2" t="s">
        <v>996</v>
      </c>
    </row>
    <row r="204" spans="1:3" x14ac:dyDescent="0.45">
      <c r="A204" s="10" t="s">
        <v>997</v>
      </c>
      <c r="B204" s="2" t="s">
        <v>998</v>
      </c>
      <c r="C204" s="2" t="s">
        <v>998</v>
      </c>
    </row>
    <row r="205" spans="1:3" x14ac:dyDescent="0.45">
      <c r="A205" s="10" t="s">
        <v>999</v>
      </c>
      <c r="B205" s="2" t="s">
        <v>1000</v>
      </c>
      <c r="C205" s="2" t="s">
        <v>1001</v>
      </c>
    </row>
    <row r="206" spans="1:3" x14ac:dyDescent="0.45">
      <c r="A206" s="289" t="s">
        <v>98</v>
      </c>
      <c r="B206" s="2" t="s">
        <v>1002</v>
      </c>
      <c r="C206" s="2" t="s">
        <v>1003</v>
      </c>
    </row>
    <row r="207" spans="1:3" x14ac:dyDescent="0.45">
      <c r="A207" s="297" t="s">
        <v>590</v>
      </c>
      <c r="B207" s="13" t="s">
        <v>1004</v>
      </c>
      <c r="C207" s="13" t="s">
        <v>1004</v>
      </c>
    </row>
    <row r="208" spans="1:3" x14ac:dyDescent="0.45">
      <c r="A208" s="289" t="s">
        <v>1260</v>
      </c>
      <c r="B208" s="13" t="s">
        <v>1262</v>
      </c>
      <c r="C208" s="13" t="s">
        <v>1261</v>
      </c>
    </row>
    <row r="209" spans="1:3" x14ac:dyDescent="0.45">
      <c r="A209" s="3" t="s">
        <v>1005</v>
      </c>
      <c r="B209" s="13" t="s">
        <v>259</v>
      </c>
      <c r="C209" s="13" t="s">
        <v>259</v>
      </c>
    </row>
    <row r="210" spans="1:3" x14ac:dyDescent="0.45">
      <c r="A210" s="289" t="s">
        <v>91</v>
      </c>
      <c r="B210" s="2" t="s">
        <v>1006</v>
      </c>
      <c r="C210" s="2" t="s">
        <v>1006</v>
      </c>
    </row>
    <row r="211" spans="1:3" x14ac:dyDescent="0.45">
      <c r="A211" s="10" t="s">
        <v>1007</v>
      </c>
      <c r="B211" s="2" t="s">
        <v>1008</v>
      </c>
      <c r="C211" s="2" t="s">
        <v>1008</v>
      </c>
    </row>
    <row r="212" spans="1:3" x14ac:dyDescent="0.45">
      <c r="A212" s="10" t="s">
        <v>1009</v>
      </c>
      <c r="B212" s="2" t="s">
        <v>1010</v>
      </c>
      <c r="C212" s="2" t="s">
        <v>1011</v>
      </c>
    </row>
    <row r="213" spans="1:3" x14ac:dyDescent="0.45">
      <c r="A213" s="10" t="s">
        <v>1012</v>
      </c>
      <c r="B213" s="2" t="s">
        <v>1013</v>
      </c>
      <c r="C213" s="2" t="s">
        <v>1014</v>
      </c>
    </row>
    <row r="214" spans="1:3" x14ac:dyDescent="0.45">
      <c r="A214" s="10" t="s">
        <v>1015</v>
      </c>
      <c r="B214" s="2" t="s">
        <v>1016</v>
      </c>
      <c r="C214" s="2" t="s">
        <v>1017</v>
      </c>
    </row>
    <row r="215" spans="1:3" x14ac:dyDescent="0.45">
      <c r="A215" s="10" t="s">
        <v>1018</v>
      </c>
      <c r="B215" s="2" t="s">
        <v>1019</v>
      </c>
      <c r="C215" s="2" t="s">
        <v>1020</v>
      </c>
    </row>
    <row r="216" spans="1:3" x14ac:dyDescent="0.45">
      <c r="A216" s="9" t="s">
        <v>1021</v>
      </c>
      <c r="B216" s="2" t="s">
        <v>259</v>
      </c>
      <c r="C216" s="2" t="s">
        <v>259</v>
      </c>
    </row>
    <row r="217" spans="1:3" x14ac:dyDescent="0.45">
      <c r="A217" s="10" t="s">
        <v>1022</v>
      </c>
      <c r="B217" s="2" t="s">
        <v>1023</v>
      </c>
      <c r="C217" s="2" t="s">
        <v>1024</v>
      </c>
    </row>
    <row r="218" spans="1:3" x14ac:dyDescent="0.45">
      <c r="A218" s="10" t="s">
        <v>1025</v>
      </c>
      <c r="B218" s="2" t="s">
        <v>1026</v>
      </c>
      <c r="C218" s="2" t="s">
        <v>1027</v>
      </c>
    </row>
    <row r="219" spans="1:3" x14ac:dyDescent="0.45">
      <c r="A219" s="10" t="s">
        <v>1028</v>
      </c>
      <c r="B219" s="2" t="s">
        <v>1029</v>
      </c>
      <c r="C219" s="2" t="s">
        <v>1030</v>
      </c>
    </row>
    <row r="220" spans="1:3" x14ac:dyDescent="0.45">
      <c r="A220" s="10" t="s">
        <v>1031</v>
      </c>
      <c r="B220" s="2" t="s">
        <v>1032</v>
      </c>
      <c r="C220" s="2" t="s">
        <v>1033</v>
      </c>
    </row>
    <row r="221" spans="1:3" x14ac:dyDescent="0.45">
      <c r="A221" s="10" t="s">
        <v>1034</v>
      </c>
      <c r="B221" s="4" t="s">
        <v>1035</v>
      </c>
      <c r="C221" s="4" t="s">
        <v>1036</v>
      </c>
    </row>
    <row r="222" spans="1:3" x14ac:dyDescent="0.45">
      <c r="A222" s="10" t="s">
        <v>1037</v>
      </c>
      <c r="B222" s="4" t="s">
        <v>1038</v>
      </c>
      <c r="C222" s="4" t="s">
        <v>1039</v>
      </c>
    </row>
    <row r="223" spans="1:3" x14ac:dyDescent="0.45">
      <c r="A223" s="289" t="s">
        <v>1530</v>
      </c>
      <c r="B223" s="4" t="s">
        <v>1531</v>
      </c>
      <c r="C223" s="4" t="s">
        <v>1532</v>
      </c>
    </row>
    <row r="224" spans="1:3" s="305" customFormat="1" x14ac:dyDescent="0.45">
      <c r="A224" s="305" t="s">
        <v>1457</v>
      </c>
      <c r="B224" s="2" t="s">
        <v>259</v>
      </c>
    </row>
    <row r="225" spans="1:3" s="289" customFormat="1" x14ac:dyDescent="0.45">
      <c r="A225" s="289" t="s">
        <v>1458</v>
      </c>
      <c r="B225" s="4" t="s">
        <v>1467</v>
      </c>
      <c r="C225" s="4" t="s">
        <v>1467</v>
      </c>
    </row>
    <row r="226" spans="1:3" s="289" customFormat="1" x14ac:dyDescent="0.45">
      <c r="A226" s="289" t="s">
        <v>1459</v>
      </c>
      <c r="B226" s="4" t="s">
        <v>1469</v>
      </c>
      <c r="C226" s="4" t="s">
        <v>1468</v>
      </c>
    </row>
    <row r="227" spans="1:3" s="289" customFormat="1" x14ac:dyDescent="0.45">
      <c r="A227" s="289" t="s">
        <v>1460</v>
      </c>
      <c r="B227" s="4" t="s">
        <v>1470</v>
      </c>
      <c r="C227" s="4" t="s">
        <v>1470</v>
      </c>
    </row>
    <row r="228" spans="1:3" s="289" customFormat="1" x14ac:dyDescent="0.45">
      <c r="A228" s="289" t="s">
        <v>1461</v>
      </c>
      <c r="B228" s="4" t="s">
        <v>1471</v>
      </c>
      <c r="C228" s="4" t="s">
        <v>1471</v>
      </c>
    </row>
    <row r="229" spans="1:3" s="289" customFormat="1" x14ac:dyDescent="0.45">
      <c r="A229" s="289" t="s">
        <v>1462</v>
      </c>
      <c r="B229" s="4" t="s">
        <v>1473</v>
      </c>
      <c r="C229" s="4" t="s">
        <v>1472</v>
      </c>
    </row>
    <row r="230" spans="1:3" s="289" customFormat="1" x14ac:dyDescent="0.45">
      <c r="A230" s="289" t="s">
        <v>1463</v>
      </c>
      <c r="B230" s="4" t="s">
        <v>1475</v>
      </c>
      <c r="C230" s="4" t="s">
        <v>1474</v>
      </c>
    </row>
    <row r="231" spans="1:3" s="369" customFormat="1" x14ac:dyDescent="0.45">
      <c r="A231" s="289" t="s">
        <v>1516</v>
      </c>
      <c r="B231" s="4" t="s">
        <v>1518</v>
      </c>
      <c r="C231" s="4" t="s">
        <v>1518</v>
      </c>
    </row>
    <row r="232" spans="1:3" s="369" customFormat="1" x14ac:dyDescent="0.45">
      <c r="A232" s="289" t="s">
        <v>1527</v>
      </c>
      <c r="B232" s="4" t="s">
        <v>1529</v>
      </c>
      <c r="C232" s="4" t="s">
        <v>1528</v>
      </c>
    </row>
    <row r="233" spans="1:3" x14ac:dyDescent="0.45">
      <c r="A233" s="3" t="s">
        <v>1040</v>
      </c>
      <c r="B233" s="2" t="s">
        <v>259</v>
      </c>
      <c r="C233" s="13" t="s">
        <v>259</v>
      </c>
    </row>
    <row r="234" spans="1:3" x14ac:dyDescent="0.45">
      <c r="A234" s="10" t="s">
        <v>1041</v>
      </c>
      <c r="B234" s="62" t="s">
        <v>1042</v>
      </c>
      <c r="C234" s="62" t="s">
        <v>1043</v>
      </c>
    </row>
    <row r="235" spans="1:3" x14ac:dyDescent="0.45">
      <c r="A235" s="10" t="s">
        <v>1044</v>
      </c>
      <c r="B235" s="2" t="s">
        <v>1045</v>
      </c>
      <c r="C235" s="2" t="s">
        <v>1046</v>
      </c>
    </row>
    <row r="236" spans="1:3" x14ac:dyDescent="0.45">
      <c r="A236" s="10" t="s">
        <v>1047</v>
      </c>
      <c r="B236" s="2" t="s">
        <v>1019</v>
      </c>
      <c r="C236" s="2" t="s">
        <v>1020</v>
      </c>
    </row>
    <row r="237" spans="1:3" x14ac:dyDescent="0.45">
      <c r="A237" s="10" t="s">
        <v>1048</v>
      </c>
      <c r="B237" s="4" t="s">
        <v>1049</v>
      </c>
      <c r="C237" s="4" t="s">
        <v>1050</v>
      </c>
    </row>
    <row r="238" spans="1:3" x14ac:dyDescent="0.45">
      <c r="A238" s="10" t="s">
        <v>1051</v>
      </c>
      <c r="B238" s="2" t="s">
        <v>1052</v>
      </c>
      <c r="C238" s="2" t="s">
        <v>1053</v>
      </c>
    </row>
    <row r="239" spans="1:3" x14ac:dyDescent="0.45">
      <c r="A239" s="10" t="s">
        <v>1054</v>
      </c>
      <c r="B239" s="2" t="s">
        <v>1055</v>
      </c>
      <c r="C239" s="2" t="s">
        <v>1055</v>
      </c>
    </row>
    <row r="240" spans="1:3" x14ac:dyDescent="0.45">
      <c r="A240" s="10" t="s">
        <v>1056</v>
      </c>
      <c r="B240" s="2" t="s">
        <v>1057</v>
      </c>
      <c r="C240" s="2" t="s">
        <v>1058</v>
      </c>
    </row>
    <row r="241" spans="1:3" x14ac:dyDescent="0.45">
      <c r="A241" s="10" t="s">
        <v>1059</v>
      </c>
      <c r="B241" s="2" t="s">
        <v>1060</v>
      </c>
      <c r="C241" s="2" t="s">
        <v>1061</v>
      </c>
    </row>
    <row r="248" spans="1:3" x14ac:dyDescent="0.45">
      <c r="C248" s="289" t="s">
        <v>1527</v>
      </c>
    </row>
  </sheetData>
  <hyperlinks>
    <hyperlink ref="A4" r:id="rId1" display="   AAD Connect Deployment" xr:uid="{391E6D1F-FB80-4F0C-873A-ADD2F0FC31CF}"/>
    <hyperlink ref="A5" r:id="rId2" xr:uid="{ECF04F0B-18DF-4278-90C5-7BB15092E60A}"/>
    <hyperlink ref="A6" r:id="rId3" xr:uid="{2F1C7705-7E02-46B6-8D56-B41F8BE91A18}"/>
    <hyperlink ref="A8" r:id="rId4" xr:uid="{A60A8D98-C822-49ED-9FFC-5C64513ED7D9}"/>
    <hyperlink ref="A9" r:id="rId5" xr:uid="{C10DFE06-85C1-4893-BDF1-1C33A622DD66}"/>
    <hyperlink ref="A10" r:id="rId6" xr:uid="{86FEB864-D1B4-4FBA-8368-AAB7916DF061}"/>
    <hyperlink ref="A45" r:id="rId7" xr:uid="{9D76AEDD-799C-4D52-806D-7448E87478B2}"/>
    <hyperlink ref="A13" r:id="rId8" display="      Azure Password Protection" xr:uid="{D7F44792-D4BE-4249-AE05-C362B720E4C8}"/>
    <hyperlink ref="A18" r:id="rId9" display="      Preview - Azure Temporary Access Passwords" xr:uid="{D3955BDC-8737-4D64-8E6E-C217E1020743}"/>
    <hyperlink ref="A14" r:id="rId10" display="      Azure AD Conditional Access: Trusted Locations" xr:uid="{F4CD088B-6087-49E3-9E90-99BB57C67924}"/>
    <hyperlink ref="A15" r:id="rId11" display="      Azure AD Conditional Access: User Actions" xr:uid="{898B19F5-5AD5-465C-9926-E6CDEE08F509}"/>
    <hyperlink ref="A16" r:id="rId12" display="      Azure AD MFA (ZT: Strong Authentication)" xr:uid="{8B34E06D-CF02-489A-AF9F-5B037A2FBECD}"/>
    <hyperlink ref="A17" r:id="rId13" display="      Self Service Password Reset (SSPR)" xr:uid="{B4D0FC87-CDB6-4497-B005-8DC3EEF2E811}"/>
    <hyperlink ref="A19" r:id="rId14" location="fido2-security-key-providers" xr:uid="{495C0395-F606-44FB-9297-F6D280422048}"/>
    <hyperlink ref="A25" r:id="rId15" display="      Azure AD Conditional Access: Block Legacy Authentication" xr:uid="{A7F24E1B-362A-4360-A7ED-FBA2E1494F08}"/>
    <hyperlink ref="A26" r:id="rId16" display="      Azure AD Conditional Access: Policies" xr:uid="{E7089DA0-41B9-46FA-9D73-7F389AEF08CA}"/>
    <hyperlink ref="A28" r:id="rId17" display="      Microsoft Cloud App Security (Session Controls)" xr:uid="{ACF1EC5B-6461-4EFD-926C-DA0F6348F84E}"/>
    <hyperlink ref="A37" r:id="rId18" display="      Azure AD RBAC Configuration (ZT: Least Privilege)" xr:uid="{71BC31EB-C535-4384-A998-E033D0FF4F17}"/>
    <hyperlink ref="A38" r:id="rId19" display="      Azure AD Privileged Identity Management (ZT: Least Privilege)" xr:uid="{38A888BC-AA3D-4B1F-88B9-1BD1DAD0F3CE}"/>
    <hyperlink ref="A30" r:id="rId20" location="user-actions" display="      Require MFA for device registration" xr:uid="{99F7FF74-BCD2-4340-8295-F9C585B28BB3}"/>
    <hyperlink ref="A23" r:id="rId21" display="      Suggestion - Enable Azure MFA for On-prem services (RADIUS)" xr:uid="{241D8F1A-BADC-4BFE-B10B-A2E3DED4BD7F}"/>
    <hyperlink ref="A29" r:id="rId22" display="      Preview - Enable Continous Access Evaluation" xr:uid="{74DDD979-FBDF-4FF9-B1B2-3507FF7B2B9E}"/>
    <hyperlink ref="A3" r:id="rId23" xr:uid="{7264C984-9471-40BA-9EE3-100F63CC685F}"/>
    <hyperlink ref="A41" r:id="rId24" xr:uid="{468CBAA6-5FF2-4E15-BB18-2711FEF535E0}"/>
    <hyperlink ref="A235" r:id="rId25" xr:uid="{23F28E33-41DF-45D3-8A7E-C348D58B1F76}"/>
    <hyperlink ref="A238" r:id="rId26" display="      Customer Lockbox" xr:uid="{AC5624E8-F05C-42BD-B1F1-D20DACF35E5F}"/>
    <hyperlink ref="A239" r:id="rId27" xr:uid="{21AAB134-7677-4B63-B3B7-29D7DF56FBB9}"/>
    <hyperlink ref="A237" r:id="rId28" xr:uid="{AA8AA98F-0AE6-4CDF-AF8B-3E5CFFE1006E}"/>
    <hyperlink ref="A222" r:id="rId29" xr:uid="{B8B97A5A-4F63-4873-BDBD-9B3DFC2A897F}"/>
    <hyperlink ref="A212" r:id="rId30" xr:uid="{6E865548-F46E-4871-80F3-A01CAB7838C0}"/>
    <hyperlink ref="A210" r:id="rId31" display="      Microsoft Purview Data Mapping" xr:uid="{EC3ABFD6-5BAA-4DC0-91E3-2674EBADCA65}"/>
    <hyperlink ref="A211" r:id="rId32" display="      Microsoft Purview Data Catalouge" xr:uid="{24064B81-D682-4BCC-B171-F85280BC511F}"/>
    <hyperlink ref="A241" r:id="rId33" xr:uid="{33B3AB63-AD08-4137-98B4-BB28383A76F9}"/>
    <hyperlink ref="A141" r:id="rId34" display="      Microsoft Defender for Servers" xr:uid="{9AEC6BDD-B654-426F-A48F-A3AA36D8E151}"/>
    <hyperlink ref="A151" r:id="rId35" xr:uid="{60AD9C0D-1DF0-4825-890B-246153D4897E}"/>
    <hyperlink ref="A159" r:id="rId36" xr:uid="{0FD73BDD-1F92-4CA5-AA4A-E15DD19A8F24}"/>
    <hyperlink ref="A158" r:id="rId37" xr:uid="{B60063B8-2D34-4C85-A23A-9D4077270DAC}"/>
    <hyperlink ref="A156" r:id="rId38" xr:uid="{2DEAAD07-E36C-4402-9C15-DDA5B8BFAF4C}"/>
    <hyperlink ref="A154" r:id="rId39" xr:uid="{D7F89BFB-1F78-4357-893E-FB4CACFFE313}"/>
    <hyperlink ref="A137" r:id="rId40" xr:uid="{F2676879-A70C-4291-8639-BCEA4AEF1A6C}"/>
    <hyperlink ref="A155" r:id="rId41" xr:uid="{6443ADF7-1F7D-4223-9375-5BF218F4E086}"/>
    <hyperlink ref="A205" r:id="rId42" display="      On-premises DLP" xr:uid="{7AC912F1-DF7E-4C26-A8C1-2A12F564359C}"/>
    <hyperlink ref="A204" r:id="rId43" display="      Endpoint DLP" xr:uid="{34D74360-1A4D-48B7-91D0-C864D569878C}"/>
    <hyperlink ref="A215" r:id="rId44" display="      Microsoft Priva" xr:uid="{4DED3906-BDCD-4469-B67E-288D56EEDB88}"/>
    <hyperlink ref="A213" r:id="rId45" display="      Information Governance Retention Labelling" xr:uid="{E5D9C6A7-12C4-46D8-A27C-84E8B502DBC3}"/>
    <hyperlink ref="A127" r:id="rId46" display="      Microsoft Threat Experts - Target Response Notifications" xr:uid="{9092E0E3-C817-4134-B586-90DED12F71CC}"/>
    <hyperlink ref="A138" r:id="rId47" display="      Process - Assess Foundation CSPM Capabilites" xr:uid="{A41B98DD-BF2C-4D2F-AF88-5DB36E46E17F}"/>
    <hyperlink ref="A221" r:id="rId48" display="      Advanced Auditing" xr:uid="{0C6CED2C-4624-4594-8ACE-6DDD40EDD96E}"/>
    <hyperlink ref="A220" r:id="rId49" display="      Enable Audit Logging (unified audit log)" xr:uid="{B01157D1-EA8C-4A41-A83C-C56665D4ED89}"/>
    <hyperlink ref="A219" r:id="rId50" display="      Risky Sign-ins" xr:uid="{E520BA5C-3FF3-4987-8C7D-9DB7F7973616}"/>
    <hyperlink ref="A240" r:id="rId51" xr:uid="{F592B8A5-C5BC-4467-98FA-D2A19685AC75}"/>
    <hyperlink ref="A218" r:id="rId52" display="      Advanced eDiscovery" xr:uid="{40415D97-FDCB-4BDB-9D08-00D8593C1F6D}"/>
    <hyperlink ref="A214" r:id="rId53" display="      Records Management" xr:uid="{E2AF978E-4A26-450D-9102-C290DB6DFF48}"/>
    <hyperlink ref="A217" r:id="rId54" display="      Compliance Archiving and eDiscovery" xr:uid="{0ADEF5FE-B8DA-4D18-874F-3E1E8C1A9A2C}"/>
    <hyperlink ref="A198" r:id="rId55" display="      Microsoft Defender for Cloud Apps (Data Governance)" xr:uid="{71EE2592-32F1-465F-B176-D4247470B71A}"/>
    <hyperlink ref="A206" r:id="rId56" display="      Insider Risk Management" xr:uid="{6A825E15-5ECC-4DB3-BED9-90C0E0015B3A}"/>
    <hyperlink ref="A203" r:id="rId57" xr:uid="{E0DC4082-0BF9-4ECF-9D41-7B3E73649236}"/>
    <hyperlink ref="A201" r:id="rId58" display="      Office Message Encryption v2" xr:uid="{592609B5-18D0-4A43-96EF-B7CA2C9CDD09}"/>
    <hyperlink ref="A199" r:id="rId59" display="      Office 365 Data Loss Prevention" xr:uid="{8123282E-2973-469B-BCE2-8BC76755B72C}"/>
    <hyperlink ref="A192" r:id="rId60" xr:uid="{F2FF0DEC-23D6-44B6-B014-C4C9AD132364}"/>
    <hyperlink ref="A197" r:id="rId61" display="      Process - External Sharing Policies" xr:uid="{46B6493B-D9BE-4EE4-87F8-24B057F15111}"/>
    <hyperlink ref="A194" r:id="rId62" display="      Unifed Labelling Scanner - classify/label/protect unstructured file data" xr:uid="{D33F1F4F-B918-497A-8B56-616B437E30DE}"/>
    <hyperlink ref="A187" r:id="rId63" xr:uid="{FA52C6EC-051C-4089-BC98-CC41846665BC}"/>
    <hyperlink ref="A193" r:id="rId64" display="      Unifed Labelling Scanner - Discovery Only" xr:uid="{6A9E02D3-BCDA-43F8-A5EB-DC1A7004B588}"/>
    <hyperlink ref="A191" r:id="rId65" display="      Advanced Classification - Exact Data Match" xr:uid="{54887C1D-3366-4E7E-ABEA-97DFF516D24C}"/>
    <hyperlink ref="A190" r:id="rId66" xr:uid="{751FA8F0-5772-4548-9D20-65D3D8642AFD}"/>
    <hyperlink ref="A189" r:id="rId67" display="      Microsoft Information Protection Auto Labelling conditions" xr:uid="{CF12E22C-594C-4AC8-8920-EA586BC764E6}"/>
    <hyperlink ref="A188" r:id="rId68" display="      Microsoft Information Protection manual senstive labelling" xr:uid="{8A89A584-E28A-4A50-9A7C-34050BE781C2}"/>
    <hyperlink ref="A182" r:id="rId69" display="   Azure Sentinel" xr:uid="{E5135DB5-3044-4E93-B84A-439A216A1225}"/>
    <hyperlink ref="A179" r:id="rId70" display="      Microsoft 365 Defender" xr:uid="{A32B84A6-A3CF-4F70-BF76-6C1639997992}"/>
    <hyperlink ref="A177" r:id="rId71" xr:uid="{AE901AA8-6DE9-4490-858C-C8B97BAF9E68}"/>
    <hyperlink ref="A176" r:id="rId72" xr:uid="{8411048F-D122-4EFA-9BB8-935344E6A760}"/>
    <hyperlink ref="A174" r:id="rId73" xr:uid="{BF7EEA56-D2F1-4412-BE63-7CB986CFD458}"/>
    <hyperlink ref="A173" r:id="rId74" xr:uid="{E64A94BA-5502-4ADB-A144-B49DFC564F40}"/>
    <hyperlink ref="A171" r:id="rId75" location=":~:text=To%20reduce%20your%20risk%20from%20malware%20that%20may,blocking.%20This%20article%20describes%20how%20to%20do%20this." xr:uid="{E3858968-745F-488A-BF48-A4415DCB3978}"/>
    <hyperlink ref="A170" r:id="rId76" xr:uid="{D62935A2-CB46-41A7-95D2-3C6ACCF0AEF0}"/>
    <hyperlink ref="A169" r:id="rId77" location=":~:text=Use%20the%20Exchange%20admin%20center%20to%20change%20a,sharing%20level%20for%20calendars%20...%20More%20items%20" display="         Do not allow anonymous calendar sharing" xr:uid="{20FF12B1-86DC-4F6B-89FD-6BCB57DB7737}"/>
    <hyperlink ref="A168" r:id="rId78" xr:uid="{1EF65884-AB80-488E-960D-FF9871935EC5}"/>
    <hyperlink ref="A167" r:id="rId79" xr:uid="{E2C7DE3E-6583-443B-BA25-61248182C1C6}"/>
    <hyperlink ref="A166" r:id="rId80" xr:uid="{7833168E-9A04-41B7-88AB-43C78A7A586D}"/>
    <hyperlink ref="A163" r:id="rId81" display="         Defender for Office 365" xr:uid="{59826D1C-ABC1-498A-B3B3-8E36B7DEE6CF}"/>
    <hyperlink ref="A162" r:id="rId82" display="         Configure Antimalware Protection (E3)" xr:uid="{26B4B129-8729-407E-BCDD-99854E02247D}"/>
    <hyperlink ref="A149" r:id="rId83" xr:uid="{9BC69292-E44A-481D-B244-654A418CC02A}"/>
    <hyperlink ref="A147" r:id="rId84" display="      Microsoft Defender for DNS" xr:uid="{B0FA4B70-9D77-4953-B087-C8C3A48D8B98}"/>
    <hyperlink ref="A146" r:id="rId85" xr:uid="{8D955A42-F695-4CB7-BAEC-F8BC08D26605}"/>
    <hyperlink ref="A145" r:id="rId86" xr:uid="{D613E8BF-DBAC-45C5-BD1A-235123095E5F}"/>
    <hyperlink ref="A144" r:id="rId87" xr:uid="{69B62040-76E4-4C78-AF67-787BABF28F39}"/>
    <hyperlink ref="A143" r:id="rId88" xr:uid="{27C4752A-1D0F-46DF-B25E-B45E683208D2}"/>
    <hyperlink ref="A142" r:id="rId89" xr:uid="{293503BA-EB77-4536-AB15-D810BD5572A6}"/>
    <hyperlink ref="A148" r:id="rId90" xr:uid="{AB3D814D-93CA-4C83-8E7C-A58A6C64887A}"/>
    <hyperlink ref="A140" r:id="rId91" display="      Microsoft Defender for Servers" xr:uid="{574866C4-5EB6-4357-BF2D-61AC5D8333AD}"/>
    <hyperlink ref="A131" r:id="rId92" location=":~:text=%20Deploy%20Microsoft%20Defender%20for%20Endpoint%20on%20iOS,on%20the%20device%2C%20you%20will%20see...%20More%20" display="      MDE for iOS" xr:uid="{3F409F9C-29F3-4B33-94B0-A6C4BB721205}"/>
    <hyperlink ref="A130" r:id="rId93" location=":~:text=Add%20Microsoft%20Defender%20for%20Endpoint%20on%20Android%20as,on%20Defender%20for%20Endpoint.%20...%20More%20items...%20" display="      MDE for Android" xr:uid="{3145077B-8A9C-48FB-BD35-0F6908FAB217}"/>
    <hyperlink ref="A129" r:id="rId94" display="      MDE for Mac OS" xr:uid="{88AB981C-68EC-4501-BDDA-BFC1613A85C2}"/>
    <hyperlink ref="A128" r:id="rId95" display="      MDE for Windows 10" xr:uid="{4216DDA9-6335-45E2-9FC4-431D9FA8F822}"/>
    <hyperlink ref="A123" r:id="rId96" xr:uid="{4618178E-C9D1-4290-8ED5-021ECF829903}"/>
    <hyperlink ref="A108" r:id="rId97" xr:uid="{CB2EF053-5B4F-472C-AAA3-1506A1B8206B}"/>
    <hyperlink ref="A92" r:id="rId98" xr:uid="{501F6AB8-995D-4D91-A914-015068FF86AE}"/>
    <hyperlink ref="A107" r:id="rId99" xr:uid="{AC6FDD61-C354-4315-95FB-56ED2C464E74}"/>
    <hyperlink ref="A119" r:id="rId100" xr:uid="{F1708365-8914-463C-AD75-143C50BD04B1}"/>
    <hyperlink ref="A118" r:id="rId101" xr:uid="{9A42086B-7411-4B2A-87A7-54645EFB6F0D}"/>
    <hyperlink ref="A117" r:id="rId102" xr:uid="{E49DE1ED-5D64-416F-903D-C9B7576B72A4}"/>
    <hyperlink ref="A122" r:id="rId103" xr:uid="{530D1D4F-6951-4B01-B28B-9E2D8C4582FA}"/>
    <hyperlink ref="A121" r:id="rId104" xr:uid="{C931E599-7473-4035-8D9E-FF7EAFFFC23B}"/>
    <hyperlink ref="A116" r:id="rId105" display="         Windows Defender Exploit Guard" xr:uid="{3CE6B858-51BB-40C8-8C0D-80B3FCB5CCDD}"/>
    <hyperlink ref="A115" r:id="rId106" display="         Windows Defender System Guard" xr:uid="{33D16B94-4999-403C-B652-3BB788CCA52D}"/>
    <hyperlink ref="A114" r:id="rId107" display="         Windows Defender Credential Guard" xr:uid="{A57A5C2A-7912-48A9-A1BA-08D37F883558}"/>
    <hyperlink ref="A113" r:id="rId108" xr:uid="{47D54134-4B65-434C-A399-8CF6C5BD3C3C}"/>
    <hyperlink ref="A112" r:id="rId109" display="         Windows Hello" xr:uid="{92211438-FFB2-44AC-8F51-04CA7C8EF17B}"/>
    <hyperlink ref="A106" r:id="rId110" display="      Suggestion - Windows 10 Evergreen Plan (updates)" xr:uid="{6C9C62D0-17CB-4D0B-90ED-C90F9ADD4E54}"/>
    <hyperlink ref="A105" r:id="rId111" display="      Windows 10 Deployment" xr:uid="{11FAB035-0406-4B9C-A7D7-075BDF92C12F}"/>
    <hyperlink ref="A109" r:id="rId112" display="   AutoPilot Configuration" xr:uid="{42199555-0632-4782-B0AF-B5DEEE9499CB}"/>
    <hyperlink ref="A85" r:id="rId113" xr:uid="{898360CB-67CB-4EF1-9CFA-596E42003C0B}"/>
    <hyperlink ref="A84" r:id="rId114" xr:uid="{FF5187E7-E9F1-47B4-A7DA-74E7FB8FDC9C}"/>
    <hyperlink ref="A83" r:id="rId115" location=":~:text=Step%201%3A%20Create%20device%20categories%20on%20the%20Intune,the%20new%20category%20in%20the%20list%20of%20categories." xr:uid="{DA5A6ABB-BFD6-4D71-B4ED-635C936A4D07}"/>
    <hyperlink ref="A101" r:id="rId116" xr:uid="{A3590639-2B13-4BAD-811E-687D3013B2AD}"/>
    <hyperlink ref="A100" r:id="rId117" xr:uid="{6ED47475-33AF-4411-B5FC-0275ED788AE9}"/>
    <hyperlink ref="A99" r:id="rId118" display="      ConfigMgr Cloud Management Gateway (MGR)" xr:uid="{1167539A-6B46-45AF-A083-B8F5A782311C}"/>
    <hyperlink ref="A98" r:id="rId119" xr:uid="{CBE1969B-CF95-4A2A-81D0-A81D169479BE}"/>
    <hyperlink ref="A79" r:id="rId120" xr:uid="{2637C65F-1D4B-41BE-8901-4669DAC2392A}"/>
    <hyperlink ref="A78" r:id="rId121" xr:uid="{4ED442A4-8137-4774-997B-91557815AD23}"/>
    <hyperlink ref="A77" r:id="rId122" xr:uid="{5EE407D1-39E0-4273-AD17-3B95A2C2AAFC}"/>
    <hyperlink ref="A76" r:id="rId123" xr:uid="{2065D96A-3780-4283-A603-D58727B57A3B}"/>
    <hyperlink ref="A64" r:id="rId124" display="      Azure AD Identity Governance - Entitlement Packages" xr:uid="{A696853C-6B8A-4108-9A8A-DF047A019EB6}"/>
    <hyperlink ref="A63" r:id="rId125" display="      Azure AD Identity Governance - Access Reviews" xr:uid="{F5DB8DDC-9DE5-44A2-8C7D-FCCC4B5B915A}"/>
    <hyperlink ref="A62" r:id="rId126" xr:uid="{4BF19E15-AE1C-4E6C-A6C4-7A88EF80DDAC}"/>
    <hyperlink ref="A61" r:id="rId127" xr:uid="{4BE36CCD-9D0E-46FD-AD66-687BDD600CC5}"/>
    <hyperlink ref="A60" r:id="rId128" xr:uid="{1903CF07-7639-4A56-BAAD-2DE452D654CE}"/>
    <hyperlink ref="A57" r:id="rId129" display="      Suggestion - HR System Intergration" xr:uid="{469056AB-11DF-44AE-9341-A195C58499AF}"/>
    <hyperlink ref="A48" r:id="rId130" display="      Azure AD - Third party SaaS Applications (SSO)" xr:uid="{281C8BDF-C8E4-4872-B874-0362D3393BC6}"/>
    <hyperlink ref="A47" r:id="rId131" xr:uid="{09F72A96-7D2E-4246-BB9A-D9CFC11C1C33}"/>
    <hyperlink ref="A46" r:id="rId132" display="      Azure AD Application Proxy" xr:uid="{8F08E8A4-218B-4467-9839-0FB2C3E71B0E}"/>
    <hyperlink ref="A73" r:id="rId133" location=":~:text=Microsoft%20Secure%20Score%20is%20a%20measurement%20of%20an,Score%20recommendations%20can%20protect%20your%20organization%20from%20threats." display="      Process - Assess Secure Score - Continuous" xr:uid="{56888097-393A-47E8-821D-3584A1461303}"/>
    <hyperlink ref="A39" r:id="rId134" xr:uid="{4895DFB6-24E1-4547-8221-85BD6084ED89}"/>
    <hyperlink ref="A180" r:id="rId135" xr:uid="{66C20160-CE6F-435E-8E8A-55AC75EB1F4A}"/>
    <hyperlink ref="A195" r:id="rId136" display="      Content Explorer" xr:uid="{6684FAEC-2DCE-4018-8BBA-C9ED26395429}"/>
    <hyperlink ref="A134" r:id="rId137" display="      Microsoft Defender for Endpoints TVM" xr:uid="{9FAA5019-C603-498E-B067-6004933C13A4}"/>
    <hyperlink ref="A126" r:id="rId138" display="      MDE Policy Configuration" xr:uid="{101AB677-1BAC-4004-B2CF-7B0FE28B4B5A}"/>
    <hyperlink ref="A181" r:id="rId139" xr:uid="{C3A72518-440B-4E8A-9D42-C716F67BD22E}"/>
    <hyperlink ref="A70" r:id="rId140" xr:uid="{FD1630EE-3A13-4C37-B872-D3D64C3797A0}"/>
    <hyperlink ref="A69" r:id="rId141" display="      External Identities" xr:uid="{E308F8BF-28C9-44BF-8310-52CE25A7ABC4}"/>
    <hyperlink ref="A68" r:id="rId142" location="collaborate-with-any-partner-using-their-identities" display="      B2B Guests" xr:uid="{C88003FC-7762-4491-A99A-0324004339CF}"/>
    <hyperlink ref="A150" r:id="rId143" display="      Microsoft Defender for DevOps" xr:uid="{78016451-7F69-47A0-8C69-6508C3110247}"/>
    <hyperlink ref="A32" r:id="rId144" location="authentication-context" display="      Azure AD Conditional Access: Authentication Context" xr:uid="{6C3ABF6C-EDB8-4BDB-B334-89BCF50C09BE}"/>
    <hyperlink ref="A31" r:id="rId145" display="      Azure AD Conditional Access: Authentication Strength" xr:uid="{0C65CF4C-DB53-454A-8330-702A4C05CE6F}"/>
    <hyperlink ref="A120" r:id="rId146" xr:uid="{5B6843A7-544F-4958-8D9D-AA06060E2D69}"/>
    <hyperlink ref="A139" r:id="rId147" location="defender-cspm-plan-options" xr:uid="{06751DA8-C173-4D37-9781-15D777B64C05}"/>
    <hyperlink ref="A89" r:id="rId148" xr:uid="{1D923A3B-F6E9-4E05-8ED4-4B3B9738BBA3}"/>
    <hyperlink ref="A88" r:id="rId149" display="     Microsoft Intune Tunnel for  Mobile Applilcation Management " xr:uid="{E3BAF892-A9EB-4729-A67C-362716C0DA1F}"/>
    <hyperlink ref="A81" r:id="rId150" xr:uid="{2BAD74E1-FE39-4563-8D27-67EE3ADEF86B}"/>
    <hyperlink ref="A80" r:id="rId151" display="      Azure AD Domain Joined or Hybrid Domain Joined" xr:uid="{09F1457E-BD33-4977-A774-A2D6778DBBAC}"/>
    <hyperlink ref="A93" r:id="rId152" xr:uid="{1FB064CC-A49C-481B-BFBF-EE86DA890BE0}"/>
    <hyperlink ref="A94" r:id="rId153" xr:uid="{876AE4AE-9506-4573-8095-09A88FB9101F}"/>
    <hyperlink ref="A135" r:id="rId154" display="         Microsoft Defender Vulnerability Management" xr:uid="{66DE4211-15FE-4C02-B932-B141DB6A9882}"/>
    <hyperlink ref="A111" r:id="rId155" display="         Cloud LAPS (preview)" xr:uid="{5061D74B-5C3A-4705-96DA-B1F1B8B8AAAD}"/>
    <hyperlink ref="A132" r:id="rId156" display="   Microsoft Defender for Endpoints for Servers" xr:uid="{299828B3-18C4-45AB-9510-F37DCE52BD82}"/>
    <hyperlink ref="A50" r:id="rId157" display="      (Preview) Microsoft Entra Global Secure Access: Private Access - Per-App " xr:uid="{1355F06B-9476-4C5C-8627-92AC3CAE06FD}"/>
    <hyperlink ref="A49" r:id="rId158" display="      (Preview) Microsoft Entra Global Secure Access: Private Access - Quick Access " xr:uid="{B1220D29-CD5C-4347-AA15-EF08D80E2E58}"/>
    <hyperlink ref="A51" r:id="rId159" xr:uid="{DB93B30D-FEDD-48B1-8B9C-77BD89C63C0C}"/>
    <hyperlink ref="A58" r:id="rId160" xr:uid="{F28AD54E-CEFB-4711-8FCF-C7C54E2499B9}"/>
    <hyperlink ref="A66" r:id="rId161" location="user-to-group-affiliation" xr:uid="{D3673DD5-CA09-42C1-8D6A-315D1075CBB2}"/>
    <hyperlink ref="A40" r:id="rId162" location="microsoft-admin-portals" xr:uid="{567E10FF-1C84-4D3E-8211-F694282389EF}"/>
    <hyperlink ref="A20" r:id="rId163" display="      Microsoft Entra MFA: Certifcate-Based Authentication" xr:uid="{58006CF2-E67A-4B58-A2CF-95FE79282283}"/>
    <hyperlink ref="A21" r:id="rId164" xr:uid="{13E65B86-EAD3-4A1A-BC90-3EF8738EF24B}"/>
    <hyperlink ref="A234" r:id="rId165" xr:uid="{95D81006-94F0-4F7B-9344-523225CA466E}"/>
    <hyperlink ref="A236" r:id="rId166" display="      Microsoft Priva" xr:uid="{B2DCE75B-F850-4E97-B94E-2A35A00893B6}"/>
    <hyperlink ref="A202" r:id="rId167" xr:uid="{BEA2DB79-D143-4DD4-980A-6EFF9B9B62F4}"/>
    <hyperlink ref="A200" r:id="rId168" xr:uid="{73D53FF2-CE65-405D-BE08-EB68167B50D7}"/>
    <hyperlink ref="A22" r:id="rId169" xr:uid="{064B4113-A57C-4CD1-8B36-735369A59235}"/>
    <hyperlink ref="A27" r:id="rId170" display="      Azure Identity Protection" xr:uid="{90263E29-7705-430D-8E47-3EC11B6A6ECA}"/>
    <hyperlink ref="A34" r:id="rId171" xr:uid="{812925E9-99E5-4450-A5F5-6F18E7CCFE16}"/>
    <hyperlink ref="A53" r:id="rId172" xr:uid="{2CADDBF1-570A-4399-8679-97B2AC900820}"/>
    <hyperlink ref="A54" r:id="rId173" xr:uid="{95212CC0-7DF2-4627-83CB-D0D6D465FCBE}"/>
    <hyperlink ref="A55" r:id="rId174" xr:uid="{E57239E4-F8DF-4512-8649-CE971E9B3471}"/>
    <hyperlink ref="A90" r:id="rId175" display="  Microsoft Intune firmware-over-the-air (FOTA) updates" xr:uid="{3A8AEC26-A96D-4677-9250-081F03A8A94C}"/>
    <hyperlink ref="A95" r:id="rId176" xr:uid="{8622A5E4-EB57-4192-BA1E-2F182072FFF4}"/>
    <hyperlink ref="A96" r:id="rId177" xr:uid="{12998124-AE06-4E43-809A-6E1531C8F366}"/>
    <hyperlink ref="A183" r:id="rId178" xr:uid="{D2F2C6E2-EC2C-486A-A81F-F3EE472742FA}"/>
    <hyperlink ref="A208" r:id="rId179" xr:uid="{5A5426C9-CDAF-4313-8413-85B9F2A92579}"/>
    <hyperlink ref="A225" r:id="rId180" xr:uid="{A6E93E61-F65E-4256-88F1-8CA3AB33066F}"/>
    <hyperlink ref="A226" r:id="rId181" xr:uid="{FC675BFB-0887-49B1-AD03-25BF955DE177}"/>
    <hyperlink ref="A227" r:id="rId182" xr:uid="{87D6D963-DFA7-4047-B36E-B67090700FE3}"/>
    <hyperlink ref="A228" r:id="rId183" xr:uid="{CDD07A28-1D1C-496A-AB0E-606E2724B22B}"/>
    <hyperlink ref="A152" r:id="rId184" xr:uid="{372AE7F4-93CF-4623-80FB-71AA35187BD6}"/>
    <hyperlink ref="A42" r:id="rId185" xr:uid="{F7C29A04-8CB3-4724-B756-44F3E7144BE8}"/>
    <hyperlink ref="A231" r:id="rId186" xr:uid="{2777CB25-E57A-4479-8DDF-FB149FFB55E6}"/>
    <hyperlink ref="A43" r:id="rId187" xr:uid="{32B82005-6785-412B-B00B-12A8D397A724}"/>
    <hyperlink ref="C248" r:id="rId188" xr:uid="{39D1FACE-8621-4748-9F78-23FA47711F2A}"/>
    <hyperlink ref="A232" r:id="rId189" xr:uid="{FC51615F-144C-42A5-AD87-82E2BB07DF8F}"/>
    <hyperlink ref="A223" r:id="rId190" xr:uid="{EA1935BE-BC76-4537-8B9C-B6A758F8CC9A}"/>
  </hyperlinks>
  <pageMargins left="0.7" right="0.7" top="0.75" bottom="0.75" header="0.3" footer="0.3"/>
  <pageSetup orientation="portrait" horizontalDpi="300" verticalDpi="300" r:id="rId191"/>
  <legacyDrawing r:id="rId1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A7A8-DA00-41E9-9B37-0CC059CC22F2}">
  <sheetPr codeName="Sheet9"/>
  <dimension ref="A1:F74"/>
  <sheetViews>
    <sheetView zoomScale="148" workbookViewId="0">
      <selection activeCell="A2" sqref="A2:A7"/>
    </sheetView>
  </sheetViews>
  <sheetFormatPr defaultRowHeight="14.25" x14ac:dyDescent="0.45"/>
  <cols>
    <col min="1" max="1" width="11.06640625" customWidth="1"/>
    <col min="2" max="2" width="46.19921875" customWidth="1"/>
    <col min="3" max="3" width="22.06640625" customWidth="1"/>
    <col min="4" max="4" width="25" customWidth="1"/>
    <col min="5" max="5" width="46.19921875" customWidth="1"/>
    <col min="6" max="6" width="36.73046875" customWidth="1"/>
  </cols>
  <sheetData>
    <row r="1" spans="1:6" ht="14.65" thickBot="1" x14ac:dyDescent="0.5">
      <c r="A1" s="326" t="s">
        <v>1420</v>
      </c>
      <c r="B1" s="8" t="s">
        <v>1419</v>
      </c>
      <c r="C1" s="8" t="s">
        <v>1418</v>
      </c>
      <c r="D1" s="8" t="s">
        <v>1417</v>
      </c>
      <c r="E1" s="8" t="s">
        <v>1416</v>
      </c>
      <c r="F1" s="8" t="s">
        <v>1415</v>
      </c>
    </row>
    <row r="2" spans="1:6" ht="57" x14ac:dyDescent="0.45">
      <c r="A2" s="363" t="s">
        <v>42</v>
      </c>
      <c r="B2" s="8" t="s">
        <v>1414</v>
      </c>
      <c r="C2" s="8"/>
      <c r="D2" s="8"/>
      <c r="E2" s="8" t="s">
        <v>1411</v>
      </c>
      <c r="F2" s="8"/>
    </row>
    <row r="3" spans="1:6" ht="28.5" x14ac:dyDescent="0.45">
      <c r="A3" s="364"/>
      <c r="B3" t="s">
        <v>1413</v>
      </c>
      <c r="C3" s="8"/>
      <c r="D3" s="8"/>
      <c r="E3" s="8" t="s">
        <v>1409</v>
      </c>
      <c r="F3" s="8"/>
    </row>
    <row r="4" spans="1:6" ht="57" x14ac:dyDescent="0.45">
      <c r="A4" s="364"/>
      <c r="B4" t="s">
        <v>365</v>
      </c>
      <c r="C4" s="8"/>
      <c r="D4" s="8"/>
      <c r="E4" s="8" t="s">
        <v>1411</v>
      </c>
      <c r="F4" s="8"/>
    </row>
    <row r="5" spans="1:6" ht="57" x14ac:dyDescent="0.45">
      <c r="A5" s="364"/>
      <c r="B5" t="s">
        <v>1412</v>
      </c>
      <c r="C5" s="8"/>
      <c r="D5" s="8"/>
      <c r="E5" s="8" t="s">
        <v>1411</v>
      </c>
      <c r="F5" s="8"/>
    </row>
    <row r="6" spans="1:6" ht="28.5" x14ac:dyDescent="0.45">
      <c r="A6" s="364"/>
      <c r="B6" t="s">
        <v>1410</v>
      </c>
      <c r="C6" s="8"/>
      <c r="D6" s="8"/>
      <c r="E6" s="8" t="s">
        <v>1409</v>
      </c>
      <c r="F6" s="8"/>
    </row>
    <row r="7" spans="1:6" ht="57.4" thickBot="1" x14ac:dyDescent="0.5">
      <c r="A7" s="365"/>
      <c r="B7" t="s">
        <v>1408</v>
      </c>
      <c r="C7" s="8"/>
      <c r="D7" s="8"/>
      <c r="E7" s="8" t="s">
        <v>1407</v>
      </c>
      <c r="F7" s="8"/>
    </row>
    <row r="8" spans="1:6" x14ac:dyDescent="0.45">
      <c r="A8" s="363" t="s">
        <v>1148</v>
      </c>
      <c r="B8" t="s">
        <v>1406</v>
      </c>
      <c r="C8" s="8"/>
      <c r="D8" s="8"/>
      <c r="E8" s="8" t="s">
        <v>1405</v>
      </c>
      <c r="F8" s="325"/>
    </row>
    <row r="9" spans="1:6" x14ac:dyDescent="0.45">
      <c r="A9" s="364"/>
      <c r="B9" t="s">
        <v>1404</v>
      </c>
      <c r="C9" s="8"/>
      <c r="D9" s="8"/>
      <c r="E9" s="8" t="s">
        <v>1403</v>
      </c>
      <c r="F9" s="325"/>
    </row>
    <row r="10" spans="1:6" ht="28.5" x14ac:dyDescent="0.45">
      <c r="A10" s="364"/>
      <c r="B10" t="s">
        <v>1402</v>
      </c>
      <c r="C10" s="8"/>
      <c r="D10" s="8"/>
      <c r="E10" s="8" t="s">
        <v>1401</v>
      </c>
      <c r="F10" s="325"/>
    </row>
    <row r="11" spans="1:6" ht="28.5" x14ac:dyDescent="0.45">
      <c r="A11" s="364"/>
      <c r="B11" t="s">
        <v>1400</v>
      </c>
      <c r="C11" s="8"/>
      <c r="D11" s="8"/>
      <c r="E11" s="8" t="s">
        <v>1399</v>
      </c>
      <c r="F11" s="325"/>
    </row>
    <row r="12" spans="1:6" ht="57" x14ac:dyDescent="0.45">
      <c r="A12" s="364"/>
      <c r="B12" t="s">
        <v>1398</v>
      </c>
      <c r="C12" s="8"/>
      <c r="D12" s="8"/>
      <c r="E12" s="8" t="s">
        <v>1397</v>
      </c>
      <c r="F12" s="325"/>
    </row>
    <row r="13" spans="1:6" ht="42.75" x14ac:dyDescent="0.45">
      <c r="A13" s="364"/>
      <c r="B13" t="s">
        <v>1396</v>
      </c>
      <c r="C13" s="8"/>
      <c r="D13" s="8"/>
      <c r="E13" s="8" t="s">
        <v>1395</v>
      </c>
      <c r="F13" s="8"/>
    </row>
    <row r="14" spans="1:6" ht="28.5" x14ac:dyDescent="0.45">
      <c r="A14" s="364"/>
      <c r="B14" t="s">
        <v>1394</v>
      </c>
      <c r="C14" s="8"/>
      <c r="D14" s="8"/>
      <c r="E14" s="8" t="s">
        <v>1393</v>
      </c>
      <c r="F14" s="8"/>
    </row>
    <row r="15" spans="1:6" ht="28.5" x14ac:dyDescent="0.45">
      <c r="A15" s="364"/>
      <c r="B15" t="s">
        <v>1392</v>
      </c>
      <c r="C15" s="8"/>
      <c r="D15" s="8"/>
      <c r="E15" s="8" t="s">
        <v>1391</v>
      </c>
      <c r="F15" s="8"/>
    </row>
    <row r="16" spans="1:6" ht="42.75" x14ac:dyDescent="0.45">
      <c r="A16" s="364"/>
      <c r="B16" t="s">
        <v>1390</v>
      </c>
      <c r="C16" s="8"/>
      <c r="D16" s="8"/>
      <c r="E16" s="8" t="s">
        <v>1389</v>
      </c>
      <c r="F16" s="8"/>
    </row>
    <row r="17" spans="1:6" ht="28.5" x14ac:dyDescent="0.45">
      <c r="A17" s="364"/>
      <c r="B17" t="s">
        <v>1388</v>
      </c>
      <c r="C17" s="8"/>
      <c r="D17" s="8"/>
      <c r="E17" s="8" t="s">
        <v>1387</v>
      </c>
      <c r="F17" s="324"/>
    </row>
    <row r="18" spans="1:6" ht="42.75" x14ac:dyDescent="0.45">
      <c r="A18" s="364"/>
      <c r="B18" t="s">
        <v>1386</v>
      </c>
      <c r="C18" s="8"/>
      <c r="D18" s="8"/>
      <c r="E18" s="8" t="s">
        <v>1385</v>
      </c>
      <c r="F18" s="8"/>
    </row>
    <row r="19" spans="1:6" ht="28.5" x14ac:dyDescent="0.45">
      <c r="A19" s="364"/>
      <c r="B19" t="s">
        <v>1384</v>
      </c>
      <c r="C19" s="8"/>
      <c r="D19" s="8" t="s">
        <v>1383</v>
      </c>
      <c r="E19" s="8" t="s">
        <v>1382</v>
      </c>
      <c r="F19" s="8"/>
    </row>
    <row r="20" spans="1:6" ht="71.650000000000006" thickBot="1" x14ac:dyDescent="0.5">
      <c r="A20" s="365"/>
      <c r="B20" t="s">
        <v>1316</v>
      </c>
      <c r="C20" s="8"/>
      <c r="D20" s="8"/>
      <c r="E20" s="8" t="s">
        <v>1381</v>
      </c>
      <c r="F20" s="8"/>
    </row>
    <row r="21" spans="1:6" x14ac:dyDescent="0.45">
      <c r="A21" s="363" t="s">
        <v>1380</v>
      </c>
      <c r="B21" t="s">
        <v>1379</v>
      </c>
      <c r="C21" s="8"/>
      <c r="D21" s="8"/>
      <c r="E21" s="8" t="s">
        <v>83</v>
      </c>
      <c r="F21" s="8"/>
    </row>
    <row r="22" spans="1:6" ht="28.5" x14ac:dyDescent="0.45">
      <c r="A22" s="364"/>
      <c r="B22" t="s">
        <v>1378</v>
      </c>
      <c r="C22" s="8"/>
      <c r="D22" s="8"/>
      <c r="E22" s="8"/>
      <c r="F22" s="8" t="s">
        <v>1377</v>
      </c>
    </row>
    <row r="23" spans="1:6" ht="28.5" x14ac:dyDescent="0.45">
      <c r="A23" s="364"/>
      <c r="B23" t="s">
        <v>1376</v>
      </c>
      <c r="C23" s="8"/>
      <c r="D23" s="8"/>
      <c r="E23" s="8" t="s">
        <v>1375</v>
      </c>
      <c r="F23" s="8"/>
    </row>
    <row r="24" spans="1:6" ht="42.75" x14ac:dyDescent="0.45">
      <c r="A24" s="364"/>
      <c r="B24" t="s">
        <v>1374</v>
      </c>
      <c r="C24" s="8"/>
      <c r="D24" s="8"/>
      <c r="E24" s="8" t="s">
        <v>1373</v>
      </c>
      <c r="F24" s="8"/>
    </row>
    <row r="25" spans="1:6" ht="85.5" x14ac:dyDescent="0.45">
      <c r="A25" s="364"/>
      <c r="B25" t="s">
        <v>1372</v>
      </c>
      <c r="C25" s="8"/>
      <c r="D25" s="8"/>
      <c r="E25" s="8" t="s">
        <v>1371</v>
      </c>
      <c r="F25" s="8"/>
    </row>
    <row r="26" spans="1:6" x14ac:dyDescent="0.45">
      <c r="A26" s="364"/>
      <c r="B26" t="s">
        <v>1370</v>
      </c>
      <c r="C26" s="8"/>
      <c r="D26" s="8"/>
      <c r="E26" s="8" t="s">
        <v>1369</v>
      </c>
      <c r="F26" s="8"/>
    </row>
    <row r="27" spans="1:6" ht="28.5" x14ac:dyDescent="0.45">
      <c r="A27" s="364"/>
      <c r="B27" t="s">
        <v>1368</v>
      </c>
      <c r="C27" s="8"/>
      <c r="D27" s="8" t="s">
        <v>1367</v>
      </c>
      <c r="E27" s="8" t="s">
        <v>1366</v>
      </c>
      <c r="F27" s="8"/>
    </row>
    <row r="28" spans="1:6" ht="42.75" x14ac:dyDescent="0.45">
      <c r="A28" s="364"/>
      <c r="B28" t="s">
        <v>1365</v>
      </c>
      <c r="C28" s="8"/>
      <c r="D28" s="8"/>
      <c r="E28" s="8" t="s">
        <v>1364</v>
      </c>
      <c r="F28" s="8"/>
    </row>
    <row r="29" spans="1:6" ht="42.75" x14ac:dyDescent="0.45">
      <c r="A29" s="364"/>
      <c r="B29" t="s">
        <v>1363</v>
      </c>
      <c r="C29" s="8"/>
      <c r="D29" s="8"/>
      <c r="E29" s="8" t="s">
        <v>1362</v>
      </c>
      <c r="F29" s="8"/>
    </row>
    <row r="30" spans="1:6" ht="28.5" x14ac:dyDescent="0.45">
      <c r="A30" s="364"/>
      <c r="B30" t="s">
        <v>1361</v>
      </c>
      <c r="C30" s="8"/>
      <c r="D30" s="8"/>
      <c r="E30" s="8" t="s">
        <v>1360</v>
      </c>
      <c r="F30" s="8"/>
    </row>
    <row r="31" spans="1:6" ht="42.75" x14ac:dyDescent="0.45">
      <c r="A31" s="364"/>
      <c r="B31" t="s">
        <v>1359</v>
      </c>
      <c r="C31" s="8"/>
      <c r="D31" s="8"/>
      <c r="E31" s="8" t="s">
        <v>1358</v>
      </c>
      <c r="F31" s="8"/>
    </row>
    <row r="32" spans="1:6" ht="28.5" x14ac:dyDescent="0.45">
      <c r="A32" s="364"/>
      <c r="B32" t="s">
        <v>533</v>
      </c>
      <c r="C32" s="8"/>
      <c r="D32" s="8"/>
      <c r="E32" s="8" t="s">
        <v>1357</v>
      </c>
      <c r="F32" s="8"/>
    </row>
    <row r="33" spans="1:6" ht="213.75" x14ac:dyDescent="0.45">
      <c r="A33" s="364"/>
      <c r="B33" t="s">
        <v>1356</v>
      </c>
      <c r="C33" s="8"/>
      <c r="D33" s="8" t="s">
        <v>1355</v>
      </c>
      <c r="E33" s="8" t="s">
        <v>1354</v>
      </c>
      <c r="F33" s="8" t="s">
        <v>1353</v>
      </c>
    </row>
    <row r="34" spans="1:6" ht="71.25" x14ac:dyDescent="0.45">
      <c r="A34" s="364"/>
      <c r="B34" t="s">
        <v>1352</v>
      </c>
      <c r="C34" s="8"/>
      <c r="D34" s="8" t="s">
        <v>1351</v>
      </c>
      <c r="E34" s="8" t="s">
        <v>1350</v>
      </c>
      <c r="F34" s="8" t="s">
        <v>1349</v>
      </c>
    </row>
    <row r="35" spans="1:6" ht="100.15" thickBot="1" x14ac:dyDescent="0.5">
      <c r="A35" s="365"/>
      <c r="B35" t="s">
        <v>1348</v>
      </c>
      <c r="C35" s="8"/>
      <c r="D35" s="8"/>
      <c r="E35" s="8" t="s">
        <v>1347</v>
      </c>
      <c r="F35" s="8" t="s">
        <v>1346</v>
      </c>
    </row>
    <row r="36" spans="1:6" ht="28.5" x14ac:dyDescent="0.45">
      <c r="A36" s="363" t="s">
        <v>1345</v>
      </c>
      <c r="B36" t="s">
        <v>1344</v>
      </c>
      <c r="C36" s="8"/>
      <c r="D36" s="8"/>
      <c r="E36" s="8" t="s">
        <v>1343</v>
      </c>
      <c r="F36" s="8"/>
    </row>
    <row r="37" spans="1:6" ht="114" x14ac:dyDescent="0.45">
      <c r="A37" s="364"/>
      <c r="B37" t="s">
        <v>1342</v>
      </c>
      <c r="C37" s="8"/>
      <c r="D37" s="8"/>
      <c r="E37" s="8" t="s">
        <v>1341</v>
      </c>
      <c r="F37" s="8" t="s">
        <v>1340</v>
      </c>
    </row>
    <row r="38" spans="1:6" x14ac:dyDescent="0.45">
      <c r="A38" s="364"/>
      <c r="B38" t="s">
        <v>129</v>
      </c>
      <c r="C38" s="8"/>
      <c r="D38" s="8"/>
      <c r="E38" s="8" t="s">
        <v>1339</v>
      </c>
      <c r="F38" s="8"/>
    </row>
    <row r="39" spans="1:6" x14ac:dyDescent="0.45">
      <c r="A39" s="364"/>
      <c r="B39" t="s">
        <v>1338</v>
      </c>
      <c r="C39" s="8"/>
      <c r="D39" s="8"/>
      <c r="E39" s="8" t="s">
        <v>1337</v>
      </c>
      <c r="F39" s="8"/>
    </row>
    <row r="40" spans="1:6" ht="28.5" x14ac:dyDescent="0.45">
      <c r="A40" s="364"/>
      <c r="B40" t="s">
        <v>597</v>
      </c>
      <c r="C40" s="8"/>
      <c r="D40" s="8"/>
      <c r="E40" s="8" t="s">
        <v>1336</v>
      </c>
      <c r="F40" s="8"/>
    </row>
    <row r="41" spans="1:6" ht="42.75" x14ac:dyDescent="0.45">
      <c r="A41" s="364"/>
      <c r="B41" t="s">
        <v>1335</v>
      </c>
      <c r="C41" s="8"/>
      <c r="D41" s="8"/>
      <c r="E41" s="8" t="s">
        <v>1334</v>
      </c>
      <c r="F41" s="8"/>
    </row>
    <row r="42" spans="1:6" x14ac:dyDescent="0.45">
      <c r="A42" s="364"/>
      <c r="B42" t="s">
        <v>1333</v>
      </c>
      <c r="C42" s="8"/>
      <c r="D42" s="8"/>
      <c r="E42" s="8" t="s">
        <v>1329</v>
      </c>
      <c r="F42" s="8"/>
    </row>
    <row r="43" spans="1:6" ht="28.5" x14ac:dyDescent="0.45">
      <c r="A43" s="364"/>
      <c r="B43" t="s">
        <v>1332</v>
      </c>
      <c r="C43" s="8"/>
      <c r="D43" s="8"/>
      <c r="E43" s="8" t="s">
        <v>1331</v>
      </c>
      <c r="F43" s="8"/>
    </row>
    <row r="44" spans="1:6" ht="14.65" thickBot="1" x14ac:dyDescent="0.5">
      <c r="A44" s="365"/>
      <c r="B44" t="s">
        <v>1330</v>
      </c>
      <c r="C44" s="8"/>
      <c r="D44" s="8"/>
      <c r="E44" s="8" t="s">
        <v>1329</v>
      </c>
      <c r="F44" s="8"/>
    </row>
    <row r="45" spans="1:6" ht="28.5" x14ac:dyDescent="0.45">
      <c r="A45" s="363" t="s">
        <v>1328</v>
      </c>
      <c r="B45" t="s">
        <v>1327</v>
      </c>
      <c r="C45" s="8"/>
      <c r="D45" s="8"/>
      <c r="E45" s="8" t="s">
        <v>1326</v>
      </c>
      <c r="F45" s="8"/>
    </row>
    <row r="46" spans="1:6" x14ac:dyDescent="0.45">
      <c r="A46" s="364"/>
      <c r="B46" t="s">
        <v>1325</v>
      </c>
      <c r="C46" s="8"/>
      <c r="D46" s="8"/>
      <c r="E46" s="8" t="s">
        <v>1324</v>
      </c>
      <c r="F46" s="8"/>
    </row>
    <row r="47" spans="1:6" ht="57" x14ac:dyDescent="0.45">
      <c r="A47" s="364"/>
      <c r="B47" t="s">
        <v>1323</v>
      </c>
      <c r="C47" s="8"/>
      <c r="D47" s="8"/>
      <c r="E47" s="8" t="s">
        <v>1322</v>
      </c>
      <c r="F47" s="8"/>
    </row>
    <row r="48" spans="1:6" ht="14.65" thickBot="1" x14ac:dyDescent="0.5">
      <c r="A48" s="365"/>
      <c r="B48" t="s">
        <v>1321</v>
      </c>
      <c r="C48" s="8"/>
      <c r="D48" s="8"/>
      <c r="E48" s="8" t="s">
        <v>1320</v>
      </c>
      <c r="F48" s="8"/>
    </row>
    <row r="49" spans="1:6" ht="14.65" thickBot="1" x14ac:dyDescent="0.5">
      <c r="A49" s="323"/>
      <c r="C49" s="8"/>
      <c r="D49" s="8"/>
      <c r="E49" s="8"/>
      <c r="F49" s="8"/>
    </row>
    <row r="50" spans="1:6" x14ac:dyDescent="0.45">
      <c r="A50" s="366" t="s">
        <v>1319</v>
      </c>
      <c r="B50" t="s">
        <v>1318</v>
      </c>
      <c r="C50" s="8"/>
      <c r="D50" s="8"/>
      <c r="E50" s="8"/>
      <c r="F50" s="8"/>
    </row>
    <row r="51" spans="1:6" ht="52.5" customHeight="1" thickBot="1" x14ac:dyDescent="0.5">
      <c r="A51" s="367"/>
      <c r="B51" t="s">
        <v>1317</v>
      </c>
      <c r="C51" s="8"/>
      <c r="D51" s="8"/>
      <c r="E51" s="8"/>
      <c r="F51" s="8"/>
    </row>
    <row r="52" spans="1:6" ht="14.65" thickBot="1" x14ac:dyDescent="0.5">
      <c r="D52" s="8"/>
      <c r="E52" s="8"/>
      <c r="F52" s="8"/>
    </row>
    <row r="53" spans="1:6" x14ac:dyDescent="0.45">
      <c r="A53" s="363" t="s">
        <v>1316</v>
      </c>
      <c r="B53" s="321" t="s">
        <v>1315</v>
      </c>
      <c r="C53" s="319"/>
      <c r="D53" s="318"/>
      <c r="E53" s="318"/>
      <c r="F53" s="318"/>
    </row>
    <row r="54" spans="1:6" x14ac:dyDescent="0.45">
      <c r="A54" s="364"/>
      <c r="B54" s="320" t="s">
        <v>1314</v>
      </c>
      <c r="C54" s="322"/>
      <c r="D54" s="318"/>
      <c r="E54" s="318"/>
      <c r="F54" s="318"/>
    </row>
    <row r="55" spans="1:6" x14ac:dyDescent="0.45">
      <c r="A55" s="364"/>
      <c r="B55" s="320" t="s">
        <v>426</v>
      </c>
      <c r="C55" s="322"/>
      <c r="D55" s="318"/>
      <c r="E55" s="318"/>
      <c r="F55" s="318"/>
    </row>
    <row r="56" spans="1:6" x14ac:dyDescent="0.45">
      <c r="A56" s="364"/>
      <c r="B56" s="320" t="s">
        <v>1313</v>
      </c>
      <c r="C56" s="319"/>
      <c r="D56" s="318"/>
      <c r="E56" s="318"/>
      <c r="F56" s="318"/>
    </row>
    <row r="57" spans="1:6" x14ac:dyDescent="0.45">
      <c r="A57" s="364"/>
      <c r="B57" s="320" t="s">
        <v>1312</v>
      </c>
      <c r="C57" s="319"/>
      <c r="D57" s="318"/>
      <c r="E57" s="318"/>
      <c r="F57" s="318"/>
    </row>
    <row r="58" spans="1:6" x14ac:dyDescent="0.45">
      <c r="A58" s="364"/>
      <c r="B58" s="320" t="s">
        <v>1311</v>
      </c>
      <c r="C58" s="319"/>
      <c r="D58" s="318"/>
      <c r="E58" s="318"/>
      <c r="F58" s="318"/>
    </row>
    <row r="59" spans="1:6" x14ac:dyDescent="0.45">
      <c r="A59" s="364"/>
      <c r="B59" s="320" t="s">
        <v>1310</v>
      </c>
      <c r="C59" s="319"/>
      <c r="D59" s="318"/>
      <c r="E59" s="318"/>
      <c r="F59" s="318"/>
    </row>
    <row r="60" spans="1:6" x14ac:dyDescent="0.45">
      <c r="A60" s="364"/>
      <c r="B60" s="320" t="s">
        <v>1309</v>
      </c>
      <c r="C60" s="319"/>
      <c r="D60" s="318"/>
      <c r="E60" s="318"/>
      <c r="F60" s="318"/>
    </row>
    <row r="61" spans="1:6" x14ac:dyDescent="0.45">
      <c r="A61" s="364"/>
      <c r="B61" s="320" t="s">
        <v>1308</v>
      </c>
      <c r="C61" s="319"/>
      <c r="D61" s="318"/>
      <c r="E61" s="318"/>
      <c r="F61" s="318"/>
    </row>
    <row r="62" spans="1:6" x14ac:dyDescent="0.45">
      <c r="A62" s="364"/>
      <c r="B62" s="320" t="s">
        <v>1307</v>
      </c>
      <c r="C62" s="319"/>
      <c r="D62" s="318"/>
      <c r="E62" s="318"/>
      <c r="F62" s="318"/>
    </row>
    <row r="63" spans="1:6" x14ac:dyDescent="0.45">
      <c r="A63" s="364"/>
      <c r="B63" s="320" t="s">
        <v>1306</v>
      </c>
      <c r="C63" s="322"/>
      <c r="D63" s="318"/>
      <c r="E63" s="318"/>
      <c r="F63" s="318"/>
    </row>
    <row r="64" spans="1:6" x14ac:dyDescent="0.45">
      <c r="A64" s="364"/>
      <c r="B64" s="320" t="s">
        <v>1305</v>
      </c>
      <c r="C64" s="318"/>
      <c r="D64" s="318"/>
      <c r="E64" s="318"/>
      <c r="F64" s="318"/>
    </row>
    <row r="65" spans="1:6" x14ac:dyDescent="0.45">
      <c r="A65" s="364"/>
      <c r="B65" s="320" t="s">
        <v>1304</v>
      </c>
      <c r="C65" s="319"/>
      <c r="D65" s="318"/>
      <c r="E65" s="318"/>
      <c r="F65" s="318"/>
    </row>
    <row r="66" spans="1:6" x14ac:dyDescent="0.45">
      <c r="A66" s="364"/>
      <c r="B66" s="320" t="s">
        <v>1303</v>
      </c>
      <c r="C66" s="322"/>
      <c r="D66" s="318"/>
      <c r="E66" s="318"/>
      <c r="F66" s="318"/>
    </row>
    <row r="67" spans="1:6" x14ac:dyDescent="0.45">
      <c r="A67" s="364"/>
      <c r="B67" s="320" t="s">
        <v>1302</v>
      </c>
      <c r="C67" s="319"/>
      <c r="D67" s="318"/>
      <c r="E67" s="318"/>
      <c r="F67" s="318"/>
    </row>
    <row r="68" spans="1:6" x14ac:dyDescent="0.45">
      <c r="A68" s="364"/>
      <c r="B68" s="320" t="s">
        <v>1301</v>
      </c>
      <c r="C68" s="319"/>
      <c r="D68" s="318"/>
      <c r="E68" s="318"/>
      <c r="F68" s="318"/>
    </row>
    <row r="69" spans="1:6" x14ac:dyDescent="0.45">
      <c r="A69" s="364"/>
      <c r="B69" s="320" t="s">
        <v>1300</v>
      </c>
      <c r="C69" s="318"/>
      <c r="D69" s="318"/>
      <c r="E69" s="318"/>
      <c r="F69" s="318"/>
    </row>
    <row r="70" spans="1:6" x14ac:dyDescent="0.45">
      <c r="A70" s="364"/>
      <c r="B70" s="320"/>
      <c r="C70" s="319"/>
      <c r="D70" s="318"/>
      <c r="E70" s="318"/>
      <c r="F70" s="318"/>
    </row>
    <row r="71" spans="1:6" x14ac:dyDescent="0.45">
      <c r="A71" s="364"/>
      <c r="B71" s="321" t="s">
        <v>1299</v>
      </c>
      <c r="C71" s="319"/>
      <c r="D71" s="318"/>
      <c r="E71" s="318"/>
      <c r="F71" s="318"/>
    </row>
    <row r="72" spans="1:6" x14ac:dyDescent="0.45">
      <c r="A72" s="364"/>
      <c r="B72" s="320" t="s">
        <v>23</v>
      </c>
      <c r="C72" s="319"/>
      <c r="D72" s="318"/>
      <c r="E72" s="318"/>
      <c r="F72" s="318"/>
    </row>
    <row r="73" spans="1:6" x14ac:dyDescent="0.45">
      <c r="A73" s="364"/>
      <c r="B73" s="320" t="s">
        <v>1298</v>
      </c>
      <c r="C73" s="319"/>
      <c r="D73" s="318"/>
      <c r="E73" s="318"/>
      <c r="F73" s="318"/>
    </row>
    <row r="74" spans="1:6" ht="14.65" thickBot="1" x14ac:dyDescent="0.5">
      <c r="A74" s="365"/>
      <c r="B74" s="320" t="s">
        <v>1297</v>
      </c>
      <c r="C74" s="319"/>
      <c r="D74" s="318"/>
      <c r="E74" s="318"/>
      <c r="F74" s="318"/>
    </row>
  </sheetData>
  <mergeCells count="7">
    <mergeCell ref="A53:A74"/>
    <mergeCell ref="A2:A7"/>
    <mergeCell ref="A8:A20"/>
    <mergeCell ref="A21:A35"/>
    <mergeCell ref="A36:A44"/>
    <mergeCell ref="A45:A48"/>
    <mergeCell ref="A50:A51"/>
  </mergeCells>
  <hyperlinks>
    <hyperlink ref="F37" r:id="rId1" display="https://learn.microsoft.com/en-us/purview/information-protection" xr:uid="{7A17D2CD-31C4-48C0-B79D-F9287F78A6D7}"/>
  </hyperlink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698A-E286-4756-87F5-A6DEAA8EB09C}">
  <sheetPr codeName="Sheet6"/>
  <dimension ref="A1:AF214"/>
  <sheetViews>
    <sheetView zoomScale="140" zoomScaleNormal="140" workbookViewId="0">
      <pane xSplit="1" ySplit="2" topLeftCell="B3" activePane="bottomRight" state="frozen"/>
      <selection pane="topRight" activeCell="B1" sqref="B1"/>
      <selection pane="bottomLeft" activeCell="A3" sqref="A3"/>
      <selection pane="bottomRight" activeCell="E4" sqref="E4"/>
    </sheetView>
  </sheetViews>
  <sheetFormatPr defaultRowHeight="15" customHeight="1" x14ac:dyDescent="0.45"/>
  <cols>
    <col min="1" max="1" width="52.59765625" style="4" bestFit="1" customWidth="1"/>
    <col min="2" max="2" width="63.1328125" style="4" bestFit="1" customWidth="1"/>
    <col min="3" max="3" width="12.265625" style="54" customWidth="1"/>
    <col min="4" max="4" width="17.73046875" style="15" bestFit="1" customWidth="1"/>
    <col min="5" max="5" width="12.86328125" style="15" customWidth="1"/>
    <col min="6" max="9" width="14.59765625" style="15" customWidth="1"/>
    <col min="10" max="10" width="29.265625" style="16" customWidth="1"/>
    <col min="11" max="11" width="16" style="15" customWidth="1"/>
    <col min="12" max="12" width="19.265625" style="15" customWidth="1"/>
    <col min="13" max="14" width="16" style="15" customWidth="1"/>
    <col min="15" max="15" width="30.86328125" style="4" customWidth="1"/>
    <col min="16" max="16" width="14" style="4" customWidth="1"/>
    <col min="17" max="17" width="11.265625" style="4" customWidth="1"/>
    <col min="18" max="18" width="34.86328125" style="4" customWidth="1"/>
    <col min="19" max="19" width="255.73046875" style="4" bestFit="1" customWidth="1"/>
    <col min="20" max="20" width="52" style="4" bestFit="1" customWidth="1"/>
    <col min="21" max="21" width="52" style="4" customWidth="1"/>
    <col min="22" max="22" width="60.73046875" style="4" bestFit="1" customWidth="1"/>
    <col min="23" max="23" width="62.265625" style="29" bestFit="1" customWidth="1"/>
    <col min="24" max="24" width="30.265625" style="29" customWidth="1"/>
    <col min="25" max="25" width="63" style="29" customWidth="1"/>
    <col min="26" max="26" width="18.86328125" style="4" customWidth="1"/>
    <col min="27" max="27" width="72.265625" style="15" bestFit="1" customWidth="1"/>
    <col min="28" max="28" width="23" style="4" customWidth="1"/>
    <col min="29" max="29" width="70.73046875" style="4" bestFit="1" customWidth="1"/>
  </cols>
  <sheetData>
    <row r="1" spans="1:32" s="8" customFormat="1" ht="39.4" x14ac:dyDescent="0.45">
      <c r="A1" s="17" t="s">
        <v>196</v>
      </c>
      <c r="B1" s="17" t="s">
        <v>197</v>
      </c>
      <c r="C1" s="290" t="s">
        <v>198</v>
      </c>
      <c r="D1" s="17" t="s">
        <v>199</v>
      </c>
      <c r="E1" s="19" t="s">
        <v>201</v>
      </c>
      <c r="F1" s="149" t="s">
        <v>1062</v>
      </c>
      <c r="G1" s="150" t="s">
        <v>1063</v>
      </c>
      <c r="H1" s="243" t="s">
        <v>1064</v>
      </c>
      <c r="I1" s="174" t="s">
        <v>205</v>
      </c>
      <c r="J1" s="20" t="s">
        <v>206</v>
      </c>
      <c r="K1" s="20" t="s">
        <v>207</v>
      </c>
      <c r="L1" s="20" t="s">
        <v>208</v>
      </c>
      <c r="M1" s="20" t="s">
        <v>209</v>
      </c>
      <c r="N1" s="20" t="s">
        <v>210</v>
      </c>
      <c r="O1" s="20" t="s">
        <v>211</v>
      </c>
      <c r="P1" s="17" t="s">
        <v>212</v>
      </c>
      <c r="Q1" s="17" t="s">
        <v>213</v>
      </c>
      <c r="R1" s="17" t="s">
        <v>214</v>
      </c>
      <c r="S1" s="17" t="s">
        <v>215</v>
      </c>
      <c r="T1" s="17" t="s">
        <v>216</v>
      </c>
      <c r="U1" s="17" t="s">
        <v>217</v>
      </c>
      <c r="V1" s="17" t="s">
        <v>1065</v>
      </c>
      <c r="W1" s="23" t="s">
        <v>1066</v>
      </c>
      <c r="X1" s="23" t="s">
        <v>219</v>
      </c>
      <c r="Y1" s="23" t="s">
        <v>220</v>
      </c>
      <c r="Z1" s="17" t="s">
        <v>221</v>
      </c>
      <c r="AA1" s="17" t="s">
        <v>222</v>
      </c>
      <c r="AB1" s="17" t="s">
        <v>223</v>
      </c>
      <c r="AC1" s="17" t="s">
        <v>224</v>
      </c>
      <c r="AD1" s="8" t="s">
        <v>225</v>
      </c>
      <c r="AE1" s="8" t="s">
        <v>226</v>
      </c>
      <c r="AF1" s="8" t="s">
        <v>227</v>
      </c>
    </row>
    <row r="2" spans="1:32" ht="15" customHeight="1" x14ac:dyDescent="0.45">
      <c r="A2" s="3" t="s">
        <v>248</v>
      </c>
      <c r="B2" s="13" t="s">
        <v>229</v>
      </c>
      <c r="C2" s="291" t="s">
        <v>229</v>
      </c>
      <c r="D2" s="13" t="s">
        <v>229</v>
      </c>
      <c r="E2" s="13" t="s">
        <v>229</v>
      </c>
      <c r="F2" s="13" t="s">
        <v>229</v>
      </c>
      <c r="G2" s="13" t="s">
        <v>229</v>
      </c>
      <c r="H2" s="13" t="s">
        <v>229</v>
      </c>
      <c r="I2" s="13" t="s">
        <v>229</v>
      </c>
      <c r="J2" s="13" t="s">
        <v>229</v>
      </c>
      <c r="K2" s="13" t="s">
        <v>229</v>
      </c>
      <c r="L2" s="13" t="s">
        <v>229</v>
      </c>
      <c r="M2" s="13" t="s">
        <v>229</v>
      </c>
      <c r="N2" s="13" t="s">
        <v>229</v>
      </c>
      <c r="O2" s="13" t="s">
        <v>229</v>
      </c>
      <c r="P2" s="13" t="s">
        <v>229</v>
      </c>
      <c r="Q2" s="13" t="s">
        <v>229</v>
      </c>
      <c r="R2" s="13" t="s">
        <v>229</v>
      </c>
      <c r="S2" s="13" t="s">
        <v>229</v>
      </c>
      <c r="T2" s="13" t="s">
        <v>229</v>
      </c>
      <c r="U2" s="13" t="s">
        <v>229</v>
      </c>
      <c r="V2" s="13" t="s">
        <v>229</v>
      </c>
      <c r="W2" s="13" t="s">
        <v>229</v>
      </c>
      <c r="X2" s="13" t="s">
        <v>229</v>
      </c>
      <c r="Y2" s="13" t="s">
        <v>229</v>
      </c>
      <c r="Z2" s="13" t="s">
        <v>229</v>
      </c>
      <c r="AA2" s="13" t="s">
        <v>229</v>
      </c>
      <c r="AB2" s="13" t="s">
        <v>229</v>
      </c>
      <c r="AC2" s="13" t="s">
        <v>229</v>
      </c>
    </row>
    <row r="3" spans="1:32" s="59" customFormat="1" ht="15" customHeight="1" x14ac:dyDescent="0.45">
      <c r="A3" s="287" t="s">
        <v>1067</v>
      </c>
      <c r="B3" s="147" t="s">
        <v>259</v>
      </c>
      <c r="C3" s="292" t="s">
        <v>259</v>
      </c>
      <c r="D3" s="147" t="s">
        <v>259</v>
      </c>
      <c r="E3" s="147" t="s">
        <v>259</v>
      </c>
      <c r="F3" s="147" t="s">
        <v>259</v>
      </c>
      <c r="G3" s="147" t="s">
        <v>259</v>
      </c>
      <c r="H3" s="147" t="s">
        <v>259</v>
      </c>
      <c r="I3" s="147" t="s">
        <v>259</v>
      </c>
      <c r="J3" s="147" t="s">
        <v>259</v>
      </c>
      <c r="K3" s="147" t="s">
        <v>259</v>
      </c>
      <c r="L3" s="147" t="s">
        <v>259</v>
      </c>
      <c r="M3" s="147" t="s">
        <v>259</v>
      </c>
      <c r="N3" s="147" t="s">
        <v>259</v>
      </c>
      <c r="O3" s="147" t="s">
        <v>259</v>
      </c>
      <c r="P3" s="147" t="s">
        <v>259</v>
      </c>
      <c r="Q3" s="147" t="s">
        <v>259</v>
      </c>
      <c r="R3" s="147" t="s">
        <v>259</v>
      </c>
      <c r="S3" s="147" t="s">
        <v>259</v>
      </c>
      <c r="T3" s="147" t="s">
        <v>259</v>
      </c>
      <c r="U3" s="147" t="s">
        <v>259</v>
      </c>
      <c r="V3" s="147" t="s">
        <v>259</v>
      </c>
      <c r="W3" s="147" t="s">
        <v>259</v>
      </c>
      <c r="X3" s="147" t="s">
        <v>259</v>
      </c>
      <c r="Y3" s="147" t="s">
        <v>259</v>
      </c>
      <c r="Z3" s="147" t="s">
        <v>259</v>
      </c>
      <c r="AA3" s="147" t="s">
        <v>259</v>
      </c>
      <c r="AB3" s="147" t="s">
        <v>259</v>
      </c>
      <c r="AC3" s="147" t="s">
        <v>259</v>
      </c>
    </row>
    <row r="4" spans="1:32" ht="15" customHeight="1" x14ac:dyDescent="0.45">
      <c r="A4" s="289" t="s">
        <v>251</v>
      </c>
      <c r="B4" s="1" t="s">
        <v>252</v>
      </c>
      <c r="C4" s="293" t="s">
        <v>239</v>
      </c>
      <c r="D4" s="6"/>
      <c r="E4" s="13" t="s">
        <v>54</v>
      </c>
      <c r="F4" s="156"/>
      <c r="G4" s="154"/>
      <c r="H4" s="246"/>
      <c r="I4" s="178"/>
      <c r="J4" s="14" t="s">
        <v>54</v>
      </c>
      <c r="K4" s="14" t="s">
        <v>54</v>
      </c>
      <c r="L4" s="14" t="s">
        <v>54</v>
      </c>
      <c r="M4" s="14"/>
      <c r="N4" s="14"/>
      <c r="O4" s="2"/>
      <c r="P4" s="2"/>
      <c r="Q4" s="2" t="s">
        <v>248</v>
      </c>
      <c r="R4" s="2" t="s">
        <v>627</v>
      </c>
      <c r="S4" s="2" t="s">
        <v>253</v>
      </c>
      <c r="T4" s="120" t="s">
        <v>254</v>
      </c>
      <c r="U4" s="2" t="s">
        <v>235</v>
      </c>
      <c r="V4" s="26" t="s">
        <v>236</v>
      </c>
      <c r="W4" s="26" t="s">
        <v>255</v>
      </c>
      <c r="X4" s="26" t="s">
        <v>256</v>
      </c>
      <c r="Y4" s="2" t="s">
        <v>238</v>
      </c>
      <c r="Z4" s="264"/>
      <c r="AA4" s="2"/>
      <c r="AB4" s="1" t="s">
        <v>257</v>
      </c>
      <c r="AC4"/>
    </row>
    <row r="5" spans="1:32" ht="15" customHeight="1" x14ac:dyDescent="0.45">
      <c r="A5" s="286" t="s">
        <v>1068</v>
      </c>
      <c r="B5" s="1" t="s">
        <v>231</v>
      </c>
      <c r="C5" s="293" t="s">
        <v>239</v>
      </c>
      <c r="D5" s="263"/>
      <c r="E5" s="263" t="s">
        <v>54</v>
      </c>
      <c r="F5" s="151" t="s">
        <v>259</v>
      </c>
      <c r="G5" s="152" t="s">
        <v>259</v>
      </c>
      <c r="H5" s="244" t="s">
        <v>259</v>
      </c>
      <c r="I5" s="175" t="s">
        <v>259</v>
      </c>
      <c r="J5" s="259"/>
      <c r="K5" s="275" t="s">
        <v>54</v>
      </c>
      <c r="L5" s="275" t="s">
        <v>54</v>
      </c>
      <c r="M5" s="275" t="s">
        <v>54</v>
      </c>
      <c r="N5" s="263" t="s">
        <v>259</v>
      </c>
      <c r="O5" s="13" t="s">
        <v>259</v>
      </c>
      <c r="P5" s="13" t="s">
        <v>259</v>
      </c>
      <c r="Q5" s="13" t="s">
        <v>259</v>
      </c>
      <c r="R5" s="13" t="s">
        <v>259</v>
      </c>
      <c r="S5" s="13" t="s">
        <v>259</v>
      </c>
      <c r="T5" s="13" t="s">
        <v>259</v>
      </c>
      <c r="U5" s="13" t="s">
        <v>259</v>
      </c>
      <c r="V5" s="13" t="s">
        <v>259</v>
      </c>
      <c r="W5" s="13" t="s">
        <v>259</v>
      </c>
      <c r="X5" s="13" t="s">
        <v>259</v>
      </c>
      <c r="Y5" s="13" t="s">
        <v>259</v>
      </c>
      <c r="Z5" s="13" t="s">
        <v>259</v>
      </c>
      <c r="AA5" s="61" t="s">
        <v>276</v>
      </c>
      <c r="AB5" s="2" t="s">
        <v>244</v>
      </c>
      <c r="AC5" s="2"/>
    </row>
    <row r="6" spans="1:32" ht="15" customHeight="1" x14ac:dyDescent="0.45">
      <c r="A6" s="286" t="s">
        <v>1069</v>
      </c>
      <c r="B6" s="1" t="s">
        <v>231</v>
      </c>
      <c r="C6" s="293" t="s">
        <v>239</v>
      </c>
      <c r="D6" s="264"/>
      <c r="E6" s="263" t="s">
        <v>54</v>
      </c>
      <c r="F6" s="153"/>
      <c r="G6" s="155"/>
      <c r="H6" s="245"/>
      <c r="I6" s="177"/>
      <c r="J6" s="41"/>
      <c r="K6" s="275" t="s">
        <v>54</v>
      </c>
      <c r="L6" s="275" t="s">
        <v>54</v>
      </c>
      <c r="M6" s="275" t="s">
        <v>54</v>
      </c>
      <c r="N6" s="275"/>
      <c r="O6" s="14"/>
      <c r="P6" s="2"/>
      <c r="Q6" s="2"/>
      <c r="R6" s="2" t="s">
        <v>278</v>
      </c>
      <c r="S6" s="2" t="s">
        <v>691</v>
      </c>
      <c r="T6" s="2" t="s">
        <v>42</v>
      </c>
      <c r="U6" s="120" t="s">
        <v>279</v>
      </c>
      <c r="V6" s="10" t="s">
        <v>242</v>
      </c>
      <c r="W6" s="26" t="s">
        <v>281</v>
      </c>
      <c r="X6" s="26" t="s">
        <v>237</v>
      </c>
      <c r="Y6" s="26" t="s">
        <v>256</v>
      </c>
      <c r="Z6" s="2" t="s">
        <v>238</v>
      </c>
      <c r="AA6" s="264"/>
      <c r="AB6" s="2" t="s">
        <v>244</v>
      </c>
      <c r="AC6" s="2"/>
    </row>
    <row r="7" spans="1:32" ht="15" customHeight="1" x14ac:dyDescent="0.45">
      <c r="A7" s="286" t="s">
        <v>510</v>
      </c>
      <c r="B7" s="1" t="s">
        <v>231</v>
      </c>
      <c r="C7" s="293" t="s">
        <v>239</v>
      </c>
      <c r="D7" s="274"/>
      <c r="E7" s="263" t="s">
        <v>54</v>
      </c>
      <c r="F7" s="158"/>
      <c r="G7" s="154"/>
      <c r="H7" s="245"/>
      <c r="I7" s="177"/>
      <c r="J7" s="41"/>
      <c r="K7" s="275" t="s">
        <v>54</v>
      </c>
      <c r="L7" s="275" t="s">
        <v>54</v>
      </c>
      <c r="M7" s="275" t="s">
        <v>54</v>
      </c>
      <c r="N7" s="275"/>
      <c r="O7" s="14"/>
      <c r="P7" s="2"/>
      <c r="Q7" s="2"/>
      <c r="R7" s="2" t="s">
        <v>278</v>
      </c>
      <c r="S7" s="2" t="s">
        <v>637</v>
      </c>
      <c r="T7" s="2" t="s">
        <v>240</v>
      </c>
      <c r="U7" s="120" t="s">
        <v>279</v>
      </c>
      <c r="V7" s="10" t="s">
        <v>280</v>
      </c>
      <c r="W7" s="26" t="s">
        <v>281</v>
      </c>
      <c r="X7" s="26" t="s">
        <v>237</v>
      </c>
      <c r="Y7" s="26" t="s">
        <v>42</v>
      </c>
      <c r="Z7" s="2" t="s">
        <v>238</v>
      </c>
      <c r="AA7" s="264"/>
      <c r="AB7" s="2" t="s">
        <v>244</v>
      </c>
      <c r="AC7" s="1" t="s">
        <v>1070</v>
      </c>
    </row>
    <row r="8" spans="1:32" ht="15" customHeight="1" x14ac:dyDescent="0.45">
      <c r="A8" s="286" t="s">
        <v>1071</v>
      </c>
      <c r="B8" s="1" t="s">
        <v>231</v>
      </c>
      <c r="C8" s="293" t="s">
        <v>246</v>
      </c>
      <c r="D8" s="274"/>
      <c r="E8" s="263" t="s">
        <v>54</v>
      </c>
      <c r="F8" s="158"/>
      <c r="G8" s="154"/>
      <c r="H8" s="245"/>
      <c r="I8" s="177"/>
      <c r="J8" s="41"/>
      <c r="K8" s="275" t="s">
        <v>54</v>
      </c>
      <c r="L8" s="275" t="s">
        <v>54</v>
      </c>
      <c r="M8" s="275" t="s">
        <v>54</v>
      </c>
      <c r="N8" s="275"/>
      <c r="O8" s="14"/>
      <c r="P8" s="2"/>
      <c r="Q8" s="2"/>
      <c r="R8" s="2" t="s">
        <v>278</v>
      </c>
      <c r="S8" s="2" t="s">
        <v>1072</v>
      </c>
      <c r="T8" s="2" t="s">
        <v>42</v>
      </c>
      <c r="U8" s="120" t="s">
        <v>279</v>
      </c>
      <c r="V8" s="10" t="s">
        <v>283</v>
      </c>
      <c r="W8" s="26" t="s">
        <v>285</v>
      </c>
      <c r="X8" s="26" t="s">
        <v>237</v>
      </c>
      <c r="Y8" s="26" t="s">
        <v>42</v>
      </c>
      <c r="Z8" s="2" t="s">
        <v>238</v>
      </c>
      <c r="AA8" s="264"/>
      <c r="AB8" s="2" t="s">
        <v>244</v>
      </c>
      <c r="AC8" s="1" t="s">
        <v>1070</v>
      </c>
    </row>
    <row r="9" spans="1:32" ht="15" customHeight="1" x14ac:dyDescent="0.45">
      <c r="A9" s="285" t="s">
        <v>1073</v>
      </c>
      <c r="B9" s="1" t="s">
        <v>231</v>
      </c>
      <c r="C9" s="293" t="s">
        <v>239</v>
      </c>
      <c r="D9" s="274"/>
      <c r="E9" s="263" t="s">
        <v>54</v>
      </c>
      <c r="F9" s="156"/>
      <c r="G9" s="155"/>
      <c r="H9" s="247"/>
      <c r="I9" s="176"/>
      <c r="J9" s="41"/>
      <c r="K9" s="275" t="s">
        <v>54</v>
      </c>
      <c r="L9" s="275" t="s">
        <v>54</v>
      </c>
      <c r="M9" s="275" t="s">
        <v>54</v>
      </c>
      <c r="N9" s="275"/>
      <c r="O9" s="14"/>
      <c r="P9" s="2"/>
      <c r="Q9" s="2"/>
      <c r="R9" s="2" t="s">
        <v>278</v>
      </c>
      <c r="S9" s="2" t="s">
        <v>644</v>
      </c>
      <c r="T9" s="2" t="s">
        <v>287</v>
      </c>
      <c r="U9" s="120" t="s">
        <v>279</v>
      </c>
      <c r="V9" s="10" t="s">
        <v>288</v>
      </c>
      <c r="W9" s="26" t="s">
        <v>1074</v>
      </c>
      <c r="X9" s="26" t="s">
        <v>237</v>
      </c>
      <c r="Y9" s="26" t="s">
        <v>42</v>
      </c>
      <c r="Z9" s="2" t="s">
        <v>238</v>
      </c>
      <c r="AA9" s="264"/>
      <c r="AB9" s="2" t="s">
        <v>244</v>
      </c>
      <c r="AC9" s="1" t="s">
        <v>1070</v>
      </c>
    </row>
    <row r="10" spans="1:32" ht="15" customHeight="1" x14ac:dyDescent="0.45">
      <c r="A10" s="286" t="s">
        <v>1075</v>
      </c>
      <c r="B10" s="1"/>
      <c r="C10" s="293" t="s">
        <v>239</v>
      </c>
      <c r="D10" s="274"/>
      <c r="E10" s="263" t="s">
        <v>54</v>
      </c>
      <c r="F10" s="156"/>
      <c r="G10" s="155"/>
      <c r="H10" s="247"/>
      <c r="I10" s="176"/>
      <c r="J10" s="281"/>
      <c r="K10" s="275" t="s">
        <v>54</v>
      </c>
      <c r="L10" s="275" t="s">
        <v>54</v>
      </c>
      <c r="M10" s="275" t="s">
        <v>54</v>
      </c>
      <c r="N10" s="275"/>
      <c r="O10" s="14"/>
      <c r="P10" s="2"/>
      <c r="Q10" s="2"/>
      <c r="R10" s="2" t="s">
        <v>289</v>
      </c>
      <c r="S10" s="2" t="s">
        <v>646</v>
      </c>
      <c r="T10" s="2" t="s">
        <v>287</v>
      </c>
      <c r="U10" s="120" t="s">
        <v>279</v>
      </c>
      <c r="V10" s="10" t="s">
        <v>290</v>
      </c>
      <c r="W10" s="26" t="s">
        <v>291</v>
      </c>
      <c r="X10" s="26" t="s">
        <v>237</v>
      </c>
      <c r="Y10" s="26" t="s">
        <v>42</v>
      </c>
      <c r="Z10" s="2" t="s">
        <v>238</v>
      </c>
      <c r="AA10" s="264"/>
      <c r="AB10" s="2" t="s">
        <v>244</v>
      </c>
      <c r="AC10" s="1" t="s">
        <v>1076</v>
      </c>
    </row>
    <row r="11" spans="1:32" ht="16.5" customHeight="1" x14ac:dyDescent="0.45">
      <c r="A11" s="285" t="s">
        <v>1077</v>
      </c>
      <c r="B11" s="1"/>
      <c r="C11" s="293" t="s">
        <v>239</v>
      </c>
      <c r="D11" s="274"/>
      <c r="E11" s="263" t="s">
        <v>54</v>
      </c>
      <c r="F11" s="156"/>
      <c r="G11" s="154"/>
      <c r="H11" s="246"/>
      <c r="I11" s="176"/>
      <c r="J11" s="41"/>
      <c r="K11" s="275" t="s">
        <v>54</v>
      </c>
      <c r="L11" s="275" t="s">
        <v>54</v>
      </c>
      <c r="M11" s="275" t="s">
        <v>54</v>
      </c>
      <c r="N11" s="275"/>
      <c r="O11" s="14"/>
      <c r="P11" s="2"/>
      <c r="Q11" s="2"/>
      <c r="R11" s="2" t="s">
        <v>305</v>
      </c>
      <c r="S11" s="2" t="s">
        <v>662</v>
      </c>
      <c r="T11" s="2" t="s">
        <v>303</v>
      </c>
      <c r="U11" s="120" t="s">
        <v>279</v>
      </c>
      <c r="V11" s="10" t="s">
        <v>283</v>
      </c>
      <c r="W11" s="26" t="s">
        <v>285</v>
      </c>
      <c r="X11" s="26" t="s">
        <v>237</v>
      </c>
      <c r="Y11" s="26" t="s">
        <v>42</v>
      </c>
      <c r="Z11" s="2" t="s">
        <v>238</v>
      </c>
      <c r="AA11" s="264"/>
      <c r="AB11" s="2" t="s">
        <v>244</v>
      </c>
      <c r="AC11" s="1" t="s">
        <v>1070</v>
      </c>
    </row>
    <row r="12" spans="1:32" s="59" customFormat="1" ht="15" customHeight="1" x14ac:dyDescent="0.45">
      <c r="A12" s="285" t="s">
        <v>1078</v>
      </c>
      <c r="B12" s="1"/>
      <c r="C12" s="54" t="s">
        <v>246</v>
      </c>
      <c r="D12" s="274"/>
      <c r="E12" s="263" t="s">
        <v>54</v>
      </c>
      <c r="F12" s="162"/>
      <c r="G12" s="161"/>
      <c r="H12" s="248"/>
      <c r="I12" s="179"/>
      <c r="J12" s="41"/>
      <c r="K12" s="275" t="s">
        <v>54</v>
      </c>
      <c r="L12" s="275" t="s">
        <v>54</v>
      </c>
      <c r="M12" s="275" t="s">
        <v>54</v>
      </c>
      <c r="N12" s="279"/>
      <c r="O12" s="56"/>
      <c r="P12" s="57"/>
      <c r="Q12" s="57"/>
      <c r="R12" s="2" t="s">
        <v>305</v>
      </c>
      <c r="S12" s="123" t="s">
        <v>1079</v>
      </c>
      <c r="T12" s="58"/>
      <c r="U12" s="122"/>
      <c r="V12" s="21"/>
      <c r="W12" s="37"/>
      <c r="X12" s="26"/>
      <c r="Y12" s="26"/>
      <c r="Z12" s="57"/>
      <c r="AA12" s="264"/>
      <c r="AB12" s="2"/>
      <c r="AC12" s="1"/>
    </row>
    <row r="13" spans="1:32" s="59" customFormat="1" ht="15" customHeight="1" x14ac:dyDescent="0.45">
      <c r="A13" s="285" t="s">
        <v>1080</v>
      </c>
      <c r="B13" s="1"/>
      <c r="C13" s="54" t="s">
        <v>246</v>
      </c>
      <c r="D13" s="274"/>
      <c r="E13" s="263" t="s">
        <v>54</v>
      </c>
      <c r="F13" s="163"/>
      <c r="G13" s="164"/>
      <c r="H13" s="249"/>
      <c r="I13" s="179"/>
      <c r="J13" s="41"/>
      <c r="K13" s="275" t="s">
        <v>54</v>
      </c>
      <c r="L13" s="275" t="s">
        <v>54</v>
      </c>
      <c r="M13" s="275" t="s">
        <v>54</v>
      </c>
      <c r="N13" s="279"/>
      <c r="O13" s="56"/>
      <c r="P13" s="57"/>
      <c r="Q13" s="57"/>
      <c r="R13" s="2" t="s">
        <v>289</v>
      </c>
      <c r="S13" s="123" t="s">
        <v>676</v>
      </c>
      <c r="T13" s="58"/>
      <c r="U13" s="122" t="s">
        <v>320</v>
      </c>
      <c r="V13" s="21"/>
      <c r="W13" s="37"/>
      <c r="X13" s="26"/>
      <c r="Y13" s="26"/>
      <c r="Z13" s="57"/>
      <c r="AA13" s="264"/>
      <c r="AB13" s="2"/>
      <c r="AC13" s="1"/>
    </row>
    <row r="14" spans="1:32" s="59" customFormat="1" ht="15" customHeight="1" x14ac:dyDescent="0.45">
      <c r="A14" s="285" t="s">
        <v>1081</v>
      </c>
      <c r="B14" s="1"/>
      <c r="C14" s="54" t="s">
        <v>239</v>
      </c>
      <c r="D14" s="274"/>
      <c r="E14" s="263" t="s">
        <v>54</v>
      </c>
      <c r="F14" s="163"/>
      <c r="G14" s="164"/>
      <c r="H14" s="249"/>
      <c r="I14" s="179"/>
      <c r="J14" s="41"/>
      <c r="K14" s="275" t="s">
        <v>54</v>
      </c>
      <c r="L14" s="275" t="s">
        <v>54</v>
      </c>
      <c r="M14" s="275" t="s">
        <v>54</v>
      </c>
      <c r="N14" s="279"/>
      <c r="O14" s="56"/>
      <c r="P14" s="57"/>
      <c r="Q14" s="57"/>
      <c r="R14" s="2" t="s">
        <v>289</v>
      </c>
      <c r="S14" s="123" t="s">
        <v>676</v>
      </c>
      <c r="T14" s="58"/>
      <c r="U14" s="122" t="s">
        <v>320</v>
      </c>
      <c r="V14" s="21"/>
      <c r="W14" s="37"/>
      <c r="X14" s="26"/>
      <c r="Y14" s="26"/>
      <c r="Z14" s="57"/>
      <c r="AA14" s="264"/>
      <c r="AB14" s="2"/>
      <c r="AC14" s="1"/>
    </row>
    <row r="15" spans="1:32" s="59" customFormat="1" ht="15" customHeight="1" x14ac:dyDescent="0.45">
      <c r="A15" s="285" t="s">
        <v>1082</v>
      </c>
      <c r="B15" s="1"/>
      <c r="C15" s="54" t="s">
        <v>239</v>
      </c>
      <c r="D15" s="274"/>
      <c r="E15" s="263" t="s">
        <v>54</v>
      </c>
      <c r="F15" s="163"/>
      <c r="G15" s="164"/>
      <c r="H15" s="249"/>
      <c r="I15" s="179"/>
      <c r="J15" s="41"/>
      <c r="K15" s="275" t="s">
        <v>54</v>
      </c>
      <c r="L15" s="275" t="s">
        <v>54</v>
      </c>
      <c r="M15" s="275" t="s">
        <v>54</v>
      </c>
      <c r="N15" s="279"/>
      <c r="O15" s="56"/>
      <c r="P15" s="57"/>
      <c r="Q15" s="57"/>
      <c r="R15" s="2" t="s">
        <v>289</v>
      </c>
      <c r="S15" s="123" t="s">
        <v>676</v>
      </c>
      <c r="T15" s="58"/>
      <c r="U15" s="122" t="s">
        <v>320</v>
      </c>
      <c r="V15" s="21"/>
      <c r="W15" s="37"/>
      <c r="X15" s="26"/>
      <c r="Y15" s="26"/>
      <c r="Z15" s="57"/>
      <c r="AA15" s="264"/>
      <c r="AB15" s="2"/>
      <c r="AC15" s="1"/>
    </row>
    <row r="16" spans="1:32" s="59" customFormat="1" ht="15" customHeight="1" x14ac:dyDescent="0.45">
      <c r="A16" s="285" t="s">
        <v>1083</v>
      </c>
      <c r="B16" s="1"/>
      <c r="C16" s="54" t="s">
        <v>239</v>
      </c>
      <c r="D16" s="274"/>
      <c r="E16" s="263" t="s">
        <v>54</v>
      </c>
      <c r="F16" s="163"/>
      <c r="G16" s="164"/>
      <c r="H16" s="249"/>
      <c r="I16" s="179"/>
      <c r="J16" s="41"/>
      <c r="K16" s="275" t="s">
        <v>54</v>
      </c>
      <c r="L16" s="275" t="s">
        <v>54</v>
      </c>
      <c r="M16" s="275" t="s">
        <v>54</v>
      </c>
      <c r="N16" s="279"/>
      <c r="O16" s="56"/>
      <c r="P16" s="57"/>
      <c r="Q16" s="57"/>
      <c r="R16" s="2" t="s">
        <v>289</v>
      </c>
      <c r="S16" s="123" t="s">
        <v>676</v>
      </c>
      <c r="T16" s="58"/>
      <c r="U16" s="122" t="s">
        <v>320</v>
      </c>
      <c r="V16" s="21"/>
      <c r="W16" s="37"/>
      <c r="X16" s="26"/>
      <c r="Y16" s="26"/>
      <c r="Z16" s="57"/>
      <c r="AA16" s="264"/>
      <c r="AB16" s="2"/>
      <c r="AC16" s="1"/>
    </row>
    <row r="17" spans="1:29" s="59" customFormat="1" ht="15" customHeight="1" x14ac:dyDescent="0.45">
      <c r="A17" s="285" t="s">
        <v>1084</v>
      </c>
      <c r="B17" s="1"/>
      <c r="C17" s="54" t="s">
        <v>246</v>
      </c>
      <c r="D17" s="274"/>
      <c r="E17" s="263" t="s">
        <v>54</v>
      </c>
      <c r="F17" s="163"/>
      <c r="G17" s="164"/>
      <c r="H17" s="249"/>
      <c r="I17" s="179"/>
      <c r="J17" s="41"/>
      <c r="K17" s="275" t="s">
        <v>54</v>
      </c>
      <c r="L17" s="275" t="s">
        <v>54</v>
      </c>
      <c r="M17" s="275" t="s">
        <v>54</v>
      </c>
      <c r="N17" s="279"/>
      <c r="O17" s="56"/>
      <c r="P17" s="57"/>
      <c r="Q17" s="57"/>
      <c r="R17" s="2" t="s">
        <v>289</v>
      </c>
      <c r="S17" s="123" t="s">
        <v>676</v>
      </c>
      <c r="T17" s="58"/>
      <c r="U17" s="122" t="s">
        <v>320</v>
      </c>
      <c r="V17" s="21"/>
      <c r="W17" s="37"/>
      <c r="X17" s="26"/>
      <c r="Y17" s="26"/>
      <c r="Z17" s="57"/>
      <c r="AA17" s="264"/>
      <c r="AB17" s="2"/>
      <c r="AC17" s="1"/>
    </row>
    <row r="18" spans="1:29" s="59" customFormat="1" ht="15" customHeight="1" x14ac:dyDescent="0.45">
      <c r="A18" s="285" t="s">
        <v>1085</v>
      </c>
      <c r="B18" s="1"/>
      <c r="C18" s="54" t="s">
        <v>246</v>
      </c>
      <c r="D18" s="274"/>
      <c r="E18" s="263" t="s">
        <v>54</v>
      </c>
      <c r="F18" s="163"/>
      <c r="G18" s="164"/>
      <c r="H18" s="249"/>
      <c r="I18" s="179"/>
      <c r="J18" s="41"/>
      <c r="K18" s="275" t="s">
        <v>54</v>
      </c>
      <c r="L18" s="275" t="s">
        <v>54</v>
      </c>
      <c r="M18" s="275" t="s">
        <v>54</v>
      </c>
      <c r="N18" s="279"/>
      <c r="O18" s="56"/>
      <c r="P18" s="57"/>
      <c r="Q18" s="57"/>
      <c r="R18" s="2" t="s">
        <v>289</v>
      </c>
      <c r="S18" s="123" t="s">
        <v>676</v>
      </c>
      <c r="T18" s="58"/>
      <c r="U18" s="122" t="s">
        <v>320</v>
      </c>
      <c r="V18" s="21"/>
      <c r="W18" s="37"/>
      <c r="X18" s="26"/>
      <c r="Y18" s="26"/>
      <c r="Z18" s="57"/>
      <c r="AA18" s="264"/>
      <c r="AB18" s="2"/>
      <c r="AC18" s="1"/>
    </row>
    <row r="19" spans="1:29" ht="15" customHeight="1" x14ac:dyDescent="0.45">
      <c r="A19" s="287" t="s">
        <v>1086</v>
      </c>
      <c r="B19"/>
      <c r="D19"/>
      <c r="E19"/>
      <c r="F19"/>
      <c r="G19"/>
      <c r="H19"/>
      <c r="I19"/>
      <c r="J19"/>
      <c r="K19"/>
      <c r="L19"/>
      <c r="M19"/>
      <c r="N19"/>
      <c r="O19"/>
      <c r="P19"/>
      <c r="Q19"/>
      <c r="R19"/>
      <c r="S19"/>
      <c r="T19"/>
      <c r="U19"/>
      <c r="V19"/>
      <c r="W19"/>
      <c r="X19"/>
      <c r="Y19"/>
      <c r="Z19"/>
      <c r="AA19"/>
      <c r="AB19"/>
      <c r="AC19"/>
    </row>
    <row r="20" spans="1:29" ht="15" customHeight="1" x14ac:dyDescent="0.45">
      <c r="A20" s="286" t="s">
        <v>1087</v>
      </c>
      <c r="B20" s="13"/>
      <c r="C20" s="293" t="s">
        <v>239</v>
      </c>
      <c r="D20" s="263"/>
      <c r="E20" s="263" t="s">
        <v>54</v>
      </c>
      <c r="F20" s="151" t="s">
        <v>259</v>
      </c>
      <c r="G20" s="152" t="s">
        <v>259</v>
      </c>
      <c r="H20" s="244" t="s">
        <v>259</v>
      </c>
      <c r="I20" s="175" t="s">
        <v>259</v>
      </c>
      <c r="J20" s="259"/>
      <c r="K20" s="275" t="s">
        <v>54</v>
      </c>
      <c r="L20" s="275" t="s">
        <v>54</v>
      </c>
      <c r="M20" s="275" t="s">
        <v>54</v>
      </c>
      <c r="N20" s="263" t="s">
        <v>259</v>
      </c>
      <c r="O20" s="13" t="s">
        <v>259</v>
      </c>
      <c r="P20" s="13" t="s">
        <v>259</v>
      </c>
      <c r="Q20" s="13" t="s">
        <v>259</v>
      </c>
      <c r="R20" s="13" t="s">
        <v>259</v>
      </c>
      <c r="S20" s="13" t="s">
        <v>259</v>
      </c>
      <c r="T20" s="13" t="s">
        <v>259</v>
      </c>
      <c r="U20" s="13" t="s">
        <v>259</v>
      </c>
      <c r="V20" s="13" t="s">
        <v>259</v>
      </c>
      <c r="W20" s="13" t="s">
        <v>259</v>
      </c>
      <c r="X20" s="13" t="s">
        <v>259</v>
      </c>
      <c r="Y20" s="13" t="s">
        <v>259</v>
      </c>
      <c r="Z20" s="13" t="s">
        <v>259</v>
      </c>
      <c r="AA20" s="263"/>
      <c r="AB20" s="13"/>
      <c r="AC20" s="13"/>
    </row>
    <row r="21" spans="1:29" ht="15" customHeight="1" x14ac:dyDescent="0.45">
      <c r="A21" s="285" t="s">
        <v>1088</v>
      </c>
      <c r="B21" s="1"/>
      <c r="C21" s="293" t="s">
        <v>239</v>
      </c>
      <c r="D21" s="274"/>
      <c r="E21" s="263" t="s">
        <v>54</v>
      </c>
      <c r="F21" s="156"/>
      <c r="G21" s="154"/>
      <c r="H21" s="247"/>
      <c r="I21" s="176"/>
      <c r="J21" s="41"/>
      <c r="K21" s="275" t="s">
        <v>54</v>
      </c>
      <c r="L21" s="275" t="s">
        <v>54</v>
      </c>
      <c r="M21" s="275" t="s">
        <v>54</v>
      </c>
      <c r="N21" s="275"/>
      <c r="O21" s="14"/>
      <c r="P21" s="2"/>
      <c r="Q21" s="2"/>
      <c r="R21" s="2" t="s">
        <v>261</v>
      </c>
      <c r="S21" s="2" t="s">
        <v>630</v>
      </c>
      <c r="T21" s="2" t="s">
        <v>262</v>
      </c>
      <c r="U21" s="120" t="s">
        <v>263</v>
      </c>
      <c r="V21" s="10" t="s">
        <v>264</v>
      </c>
      <c r="W21" s="26" t="s">
        <v>243</v>
      </c>
      <c r="X21" s="26" t="s">
        <v>265</v>
      </c>
      <c r="Y21" s="26" t="s">
        <v>256</v>
      </c>
      <c r="Z21" s="2" t="s">
        <v>238</v>
      </c>
      <c r="AA21" s="264"/>
      <c r="AB21" s="2"/>
      <c r="AC21" s="1"/>
    </row>
    <row r="22" spans="1:29" ht="15" customHeight="1" x14ac:dyDescent="0.45">
      <c r="A22" s="285" t="s">
        <v>1089</v>
      </c>
      <c r="B22" s="1"/>
      <c r="C22" s="293" t="s">
        <v>239</v>
      </c>
      <c r="D22" s="274"/>
      <c r="E22" s="263" t="s">
        <v>54</v>
      </c>
      <c r="F22" s="156"/>
      <c r="G22" s="157"/>
      <c r="H22" s="247"/>
      <c r="I22" s="178"/>
      <c r="J22" s="41"/>
      <c r="K22" s="275" t="s">
        <v>54</v>
      </c>
      <c r="L22" s="275" t="s">
        <v>54</v>
      </c>
      <c r="M22" s="275" t="s">
        <v>54</v>
      </c>
      <c r="N22" s="275"/>
      <c r="O22" s="14"/>
      <c r="P22" s="2"/>
      <c r="Q22" s="2"/>
      <c r="R22" s="2" t="s">
        <v>261</v>
      </c>
      <c r="S22" s="2" t="s">
        <v>632</v>
      </c>
      <c r="T22" s="2" t="s">
        <v>267</v>
      </c>
      <c r="U22" s="120" t="s">
        <v>263</v>
      </c>
      <c r="V22" s="10" t="s">
        <v>268</v>
      </c>
      <c r="W22" s="26" t="s">
        <v>243</v>
      </c>
      <c r="X22" s="26" t="s">
        <v>269</v>
      </c>
      <c r="Y22" s="26" t="s">
        <v>270</v>
      </c>
      <c r="Z22" s="2" t="s">
        <v>238</v>
      </c>
      <c r="AA22" s="61" t="s">
        <v>271</v>
      </c>
      <c r="AB22" s="2"/>
      <c r="AC22" s="1" t="s">
        <v>272</v>
      </c>
    </row>
    <row r="23" spans="1:29" ht="15" customHeight="1" x14ac:dyDescent="0.45">
      <c r="A23" s="287" t="s">
        <v>1090</v>
      </c>
      <c r="B23" s="1"/>
      <c r="C23" s="293"/>
      <c r="D23" s="274"/>
      <c r="E23" s="263" t="s">
        <v>54</v>
      </c>
      <c r="F23" s="156"/>
      <c r="G23" s="157"/>
      <c r="H23" s="247"/>
      <c r="I23" s="178"/>
      <c r="J23" s="41"/>
      <c r="K23" s="275"/>
      <c r="L23" s="275"/>
      <c r="M23" s="275"/>
      <c r="N23" s="267"/>
      <c r="O23" s="62"/>
      <c r="P23" s="2"/>
      <c r="Q23" s="2"/>
      <c r="R23" s="2"/>
      <c r="S23" s="2"/>
      <c r="T23" s="2"/>
      <c r="U23" s="120"/>
      <c r="V23" s="10"/>
      <c r="W23" s="26"/>
      <c r="X23" s="26"/>
      <c r="Y23" s="26"/>
      <c r="Z23" s="2"/>
      <c r="AA23" s="61"/>
      <c r="AB23" s="2"/>
      <c r="AC23" s="1"/>
    </row>
    <row r="24" spans="1:29" ht="15" customHeight="1" x14ac:dyDescent="0.45">
      <c r="A24" s="288" t="s">
        <v>1091</v>
      </c>
      <c r="B24" s="1"/>
      <c r="C24" s="293" t="s">
        <v>239</v>
      </c>
      <c r="D24" s="274"/>
      <c r="E24" s="263" t="s">
        <v>54</v>
      </c>
      <c r="F24" s="156"/>
      <c r="G24" s="157"/>
      <c r="H24" s="247"/>
      <c r="I24" s="178"/>
      <c r="J24" s="41"/>
      <c r="K24" s="275" t="s">
        <v>54</v>
      </c>
      <c r="L24" s="275" t="s">
        <v>54</v>
      </c>
      <c r="M24" s="275" t="s">
        <v>54</v>
      </c>
      <c r="P24" s="2"/>
      <c r="Q24" s="2"/>
      <c r="R24" s="2" t="s">
        <v>261</v>
      </c>
      <c r="S24" s="2" t="s">
        <v>634</v>
      </c>
      <c r="T24" s="2" t="s">
        <v>267</v>
      </c>
      <c r="U24" s="120" t="s">
        <v>263</v>
      </c>
      <c r="V24" s="10" t="s">
        <v>268</v>
      </c>
      <c r="W24" s="26" t="s">
        <v>243</v>
      </c>
      <c r="X24" s="26" t="s">
        <v>269</v>
      </c>
      <c r="Y24" s="26" t="s">
        <v>270</v>
      </c>
      <c r="Z24" s="2" t="s">
        <v>238</v>
      </c>
      <c r="AA24" s="264"/>
      <c r="AB24" s="2"/>
      <c r="AC24" s="1" t="s">
        <v>272</v>
      </c>
    </row>
    <row r="25" spans="1:29" ht="15" customHeight="1" x14ac:dyDescent="0.45">
      <c r="A25" s="285" t="s">
        <v>1092</v>
      </c>
      <c r="B25" s="1"/>
      <c r="C25" s="54" t="s">
        <v>246</v>
      </c>
      <c r="D25" s="274"/>
      <c r="E25" s="263" t="s">
        <v>54</v>
      </c>
      <c r="F25" s="163"/>
      <c r="G25" s="164"/>
      <c r="H25" s="249"/>
      <c r="I25" s="179"/>
      <c r="J25" s="41"/>
      <c r="K25" s="275" t="s">
        <v>54</v>
      </c>
      <c r="L25" s="275" t="s">
        <v>54</v>
      </c>
      <c r="M25" s="275" t="s">
        <v>54</v>
      </c>
      <c r="N25" s="275"/>
      <c r="O25" s="14"/>
      <c r="P25" s="2"/>
      <c r="Q25" s="2"/>
      <c r="R25" s="2" t="s">
        <v>324</v>
      </c>
      <c r="S25" s="2" t="s">
        <v>679</v>
      </c>
      <c r="T25" s="2" t="s">
        <v>325</v>
      </c>
      <c r="U25" s="62" t="s">
        <v>323</v>
      </c>
      <c r="V25" s="4" t="s">
        <v>323</v>
      </c>
      <c r="X25" s="25" t="s">
        <v>326</v>
      </c>
      <c r="Y25" s="25"/>
      <c r="Z25" s="2" t="s">
        <v>238</v>
      </c>
      <c r="AA25" s="264"/>
      <c r="AB25" s="2" t="s">
        <v>244</v>
      </c>
      <c r="AC25" s="2"/>
    </row>
    <row r="26" spans="1:29" ht="14.25" x14ac:dyDescent="0.45">
      <c r="A26" s="285" t="s">
        <v>1093</v>
      </c>
      <c r="C26" s="54" t="s">
        <v>246</v>
      </c>
      <c r="E26" s="263" t="s">
        <v>54</v>
      </c>
      <c r="F26" s="163"/>
      <c r="G26" s="164"/>
      <c r="H26" s="249"/>
      <c r="I26" s="179"/>
      <c r="K26" s="275" t="s">
        <v>54</v>
      </c>
      <c r="L26" s="275" t="s">
        <v>54</v>
      </c>
      <c r="M26" s="275" t="s">
        <v>54</v>
      </c>
    </row>
    <row r="27" spans="1:29" ht="14.25" x14ac:dyDescent="0.45">
      <c r="A27" s="285" t="s">
        <v>1094</v>
      </c>
      <c r="C27" s="54" t="s">
        <v>246</v>
      </c>
      <c r="E27" s="263" t="s">
        <v>54</v>
      </c>
      <c r="F27" s="163"/>
      <c r="G27" s="164"/>
      <c r="H27" s="249"/>
      <c r="I27" s="179"/>
      <c r="K27" s="275" t="s">
        <v>54</v>
      </c>
      <c r="L27" s="275" t="s">
        <v>54</v>
      </c>
      <c r="M27" s="275" t="s">
        <v>54</v>
      </c>
    </row>
    <row r="28" spans="1:29" ht="14.25" x14ac:dyDescent="0.45">
      <c r="A28" s="285" t="s">
        <v>1095</v>
      </c>
      <c r="C28" s="293" t="s">
        <v>239</v>
      </c>
      <c r="E28" s="263" t="s">
        <v>54</v>
      </c>
      <c r="F28" s="163"/>
      <c r="G28" s="164"/>
      <c r="H28" s="249"/>
      <c r="I28" s="179"/>
      <c r="K28" s="275" t="s">
        <v>54</v>
      </c>
      <c r="L28" s="275" t="s">
        <v>54</v>
      </c>
      <c r="M28" s="275" t="s">
        <v>54</v>
      </c>
    </row>
    <row r="29" spans="1:29" ht="15" customHeight="1" x14ac:dyDescent="0.45">
      <c r="A29" s="286" t="s">
        <v>1096</v>
      </c>
      <c r="B29" s="1"/>
      <c r="C29" s="293" t="s">
        <v>239</v>
      </c>
      <c r="D29" s="274"/>
      <c r="E29" s="263" t="s">
        <v>54</v>
      </c>
      <c r="F29" s="153"/>
      <c r="G29" s="154"/>
      <c r="H29" s="245"/>
      <c r="I29" s="176"/>
      <c r="J29" s="41"/>
      <c r="K29" s="275" t="s">
        <v>54</v>
      </c>
      <c r="L29" s="275" t="s">
        <v>54</v>
      </c>
      <c r="M29" s="275" t="s">
        <v>54</v>
      </c>
      <c r="N29" s="275"/>
      <c r="O29" s="14"/>
      <c r="P29" s="2"/>
      <c r="Q29" s="2"/>
      <c r="R29" s="2" t="s">
        <v>233</v>
      </c>
      <c r="S29" s="2" t="s">
        <v>657</v>
      </c>
      <c r="T29" s="2" t="s">
        <v>297</v>
      </c>
      <c r="U29" s="2" t="s">
        <v>249</v>
      </c>
      <c r="V29" s="10" t="s">
        <v>298</v>
      </c>
      <c r="W29" s="26" t="s">
        <v>1097</v>
      </c>
      <c r="X29" s="26" t="s">
        <v>237</v>
      </c>
      <c r="Y29" s="26" t="s">
        <v>299</v>
      </c>
      <c r="Z29" s="2" t="s">
        <v>238</v>
      </c>
      <c r="AA29" s="264"/>
      <c r="AB29" s="2" t="s">
        <v>244</v>
      </c>
      <c r="AC29" s="2"/>
    </row>
    <row r="30" spans="1:29" ht="15" customHeight="1" x14ac:dyDescent="0.45">
      <c r="A30" s="286" t="s">
        <v>1098</v>
      </c>
      <c r="B30" s="1"/>
      <c r="C30" s="293" t="s">
        <v>246</v>
      </c>
      <c r="D30" s="274"/>
      <c r="E30" s="263" t="s">
        <v>54</v>
      </c>
      <c r="F30" s="153"/>
      <c r="G30" s="155"/>
      <c r="H30" s="245"/>
      <c r="I30" s="177"/>
      <c r="J30" s="41"/>
      <c r="K30" s="275" t="s">
        <v>54</v>
      </c>
      <c r="L30" s="275" t="s">
        <v>54</v>
      </c>
      <c r="M30" s="275" t="s">
        <v>54</v>
      </c>
      <c r="N30" s="275"/>
      <c r="O30" s="14"/>
      <c r="P30" s="2"/>
      <c r="Q30" s="2"/>
      <c r="R30" s="2" t="s">
        <v>305</v>
      </c>
      <c r="S30" s="2" t="s">
        <v>664</v>
      </c>
      <c r="T30" s="2" t="s">
        <v>303</v>
      </c>
      <c r="U30" s="120" t="s">
        <v>279</v>
      </c>
      <c r="V30" s="10" t="s">
        <v>280</v>
      </c>
      <c r="W30" s="26" t="s">
        <v>285</v>
      </c>
      <c r="X30" s="26" t="s">
        <v>237</v>
      </c>
      <c r="Y30" s="26" t="s">
        <v>42</v>
      </c>
      <c r="Z30" s="2" t="s">
        <v>238</v>
      </c>
      <c r="AA30" s="264"/>
      <c r="AB30" s="2" t="s">
        <v>244</v>
      </c>
      <c r="AC30" s="1" t="s">
        <v>1099</v>
      </c>
    </row>
    <row r="31" spans="1:29" ht="15" customHeight="1" x14ac:dyDescent="0.45">
      <c r="A31" s="286" t="s">
        <v>1100</v>
      </c>
      <c r="B31" s="1"/>
      <c r="C31" s="293" t="s">
        <v>246</v>
      </c>
      <c r="D31" s="274"/>
      <c r="E31" s="263" t="s">
        <v>54</v>
      </c>
      <c r="F31" s="153"/>
      <c r="G31" s="154"/>
      <c r="H31" s="245"/>
      <c r="I31" s="176"/>
      <c r="J31" s="41"/>
      <c r="K31" s="275" t="s">
        <v>54</v>
      </c>
      <c r="L31" s="275" t="s">
        <v>54</v>
      </c>
      <c r="M31" s="275" t="s">
        <v>54</v>
      </c>
      <c r="N31" s="275"/>
      <c r="O31" s="14"/>
      <c r="P31" s="2"/>
      <c r="Q31" s="2"/>
      <c r="R31" s="2" t="s">
        <v>305</v>
      </c>
      <c r="S31" s="2" t="s">
        <v>666</v>
      </c>
      <c r="T31" s="2" t="s">
        <v>311</v>
      </c>
      <c r="U31" s="120" t="s">
        <v>312</v>
      </c>
      <c r="V31" s="10" t="s">
        <v>280</v>
      </c>
      <c r="W31" s="26" t="s">
        <v>285</v>
      </c>
      <c r="X31" s="26" t="s">
        <v>237</v>
      </c>
      <c r="Y31" s="26" t="s">
        <v>42</v>
      </c>
      <c r="Z31" s="2" t="s">
        <v>238</v>
      </c>
      <c r="AA31" s="264"/>
      <c r="AB31" s="2" t="s">
        <v>244</v>
      </c>
      <c r="AC31" s="2"/>
    </row>
    <row r="32" spans="1:29" ht="15" customHeight="1" x14ac:dyDescent="0.45">
      <c r="A32" s="285" t="s">
        <v>1101</v>
      </c>
      <c r="B32" s="1"/>
      <c r="C32" s="293" t="s">
        <v>239</v>
      </c>
      <c r="D32" s="274"/>
      <c r="E32" s="263" t="s">
        <v>54</v>
      </c>
      <c r="F32" s="153"/>
      <c r="G32" s="155"/>
      <c r="H32" s="245"/>
      <c r="I32" s="177"/>
      <c r="J32" s="41"/>
      <c r="K32" s="275" t="s">
        <v>54</v>
      </c>
      <c r="L32" s="275" t="s">
        <v>54</v>
      </c>
      <c r="M32" s="275" t="s">
        <v>54</v>
      </c>
      <c r="N32" s="275"/>
      <c r="O32" s="14"/>
      <c r="P32" s="2"/>
      <c r="Q32" s="2"/>
      <c r="R32" s="2" t="s">
        <v>278</v>
      </c>
      <c r="S32" s="2" t="s">
        <v>668</v>
      </c>
      <c r="T32" s="2"/>
      <c r="U32" s="121" t="s">
        <v>279</v>
      </c>
      <c r="V32" s="22"/>
      <c r="W32" s="36" t="s">
        <v>314</v>
      </c>
      <c r="X32" s="26" t="s">
        <v>237</v>
      </c>
      <c r="Y32" s="26" t="s">
        <v>42</v>
      </c>
      <c r="Z32" s="2" t="s">
        <v>238</v>
      </c>
      <c r="AA32" s="264"/>
      <c r="AB32" s="2"/>
      <c r="AC32" s="2"/>
    </row>
    <row r="33" spans="1:32" s="59" customFormat="1" ht="15" customHeight="1" x14ac:dyDescent="0.45">
      <c r="A33" s="285" t="s">
        <v>1102</v>
      </c>
      <c r="B33" s="1"/>
      <c r="C33" s="293" t="s">
        <v>239</v>
      </c>
      <c r="D33" s="274"/>
      <c r="E33" s="263" t="s">
        <v>54</v>
      </c>
      <c r="F33" s="160"/>
      <c r="G33" s="161"/>
      <c r="H33" s="248"/>
      <c r="I33" s="179"/>
      <c r="J33" s="41"/>
      <c r="K33" s="275" t="s">
        <v>54</v>
      </c>
      <c r="L33" s="275" t="s">
        <v>54</v>
      </c>
      <c r="M33" s="275" t="s">
        <v>54</v>
      </c>
      <c r="N33" s="279"/>
      <c r="O33" s="56"/>
      <c r="P33" s="57"/>
      <c r="Q33" s="57"/>
      <c r="R33" s="123" t="s">
        <v>278</v>
      </c>
      <c r="S33" s="123" t="s">
        <v>1103</v>
      </c>
      <c r="T33" s="58" t="s">
        <v>315</v>
      </c>
      <c r="U33" s="122" t="s">
        <v>279</v>
      </c>
      <c r="V33" s="21" t="s">
        <v>298</v>
      </c>
      <c r="W33" s="37" t="s">
        <v>281</v>
      </c>
      <c r="X33" s="26" t="s">
        <v>316</v>
      </c>
      <c r="Y33" s="26" t="s">
        <v>317</v>
      </c>
      <c r="Z33" s="57" t="s">
        <v>238</v>
      </c>
      <c r="AA33" s="264" t="s">
        <v>250</v>
      </c>
      <c r="AB33" s="2" t="s">
        <v>244</v>
      </c>
      <c r="AC33" s="1" t="s">
        <v>318</v>
      </c>
    </row>
    <row r="34" spans="1:32" s="59" customFormat="1" ht="15" customHeight="1" x14ac:dyDescent="0.45">
      <c r="A34" s="285" t="s">
        <v>1104</v>
      </c>
      <c r="B34" s="1"/>
      <c r="C34" s="293" t="s">
        <v>239</v>
      </c>
      <c r="D34" s="274"/>
      <c r="E34" s="263" t="s">
        <v>54</v>
      </c>
      <c r="F34" s="160"/>
      <c r="G34" s="161"/>
      <c r="H34" s="248"/>
      <c r="I34" s="179"/>
      <c r="J34" s="41"/>
      <c r="K34" s="275"/>
      <c r="L34" s="275"/>
      <c r="M34" s="275"/>
      <c r="N34" s="279"/>
      <c r="O34" s="56"/>
      <c r="P34" s="57"/>
      <c r="Q34" s="57"/>
      <c r="R34" s="123"/>
      <c r="S34" s="123"/>
      <c r="T34" s="58"/>
      <c r="U34" s="122"/>
      <c r="V34" s="21"/>
      <c r="W34" s="37"/>
      <c r="X34" s="26"/>
      <c r="Y34" s="26"/>
      <c r="Z34" s="57"/>
      <c r="AA34" s="264"/>
      <c r="AB34" s="2"/>
      <c r="AC34" s="1"/>
    </row>
    <row r="35" spans="1:32" s="59" customFormat="1" ht="15" customHeight="1" x14ac:dyDescent="0.45">
      <c r="A35" s="285" t="s">
        <v>1105</v>
      </c>
      <c r="B35" s="1"/>
      <c r="C35" s="293" t="s">
        <v>246</v>
      </c>
      <c r="D35" s="274"/>
      <c r="E35" s="263" t="s">
        <v>54</v>
      </c>
      <c r="F35" s="153"/>
      <c r="G35" s="155"/>
      <c r="H35" s="245"/>
      <c r="I35" s="176"/>
      <c r="J35" s="41"/>
      <c r="K35" s="275"/>
      <c r="L35" s="275"/>
      <c r="M35" s="275"/>
      <c r="N35" s="275"/>
      <c r="O35" s="14"/>
      <c r="P35" s="2"/>
      <c r="Q35" s="2"/>
      <c r="R35" s="62"/>
      <c r="S35" s="62"/>
      <c r="T35" s="4"/>
      <c r="U35" s="122"/>
      <c r="V35" s="21"/>
      <c r="W35" s="37"/>
      <c r="X35" s="26"/>
      <c r="Y35" s="26"/>
      <c r="Z35" s="2"/>
      <c r="AA35" s="264"/>
      <c r="AB35" s="2"/>
      <c r="AC35" s="1"/>
      <c r="AD35"/>
      <c r="AE35"/>
      <c r="AF35"/>
    </row>
    <row r="36" spans="1:32" s="59" customFormat="1" ht="15" customHeight="1" x14ac:dyDescent="0.45">
      <c r="A36" s="285" t="s">
        <v>1106</v>
      </c>
      <c r="B36" s="147"/>
      <c r="C36" s="293" t="s">
        <v>239</v>
      </c>
      <c r="D36" s="280"/>
      <c r="E36" s="263" t="s">
        <v>54</v>
      </c>
      <c r="F36" s="153"/>
      <c r="G36" s="155"/>
      <c r="H36" s="245"/>
      <c r="I36" s="176"/>
      <c r="J36" s="278"/>
      <c r="K36" s="275"/>
      <c r="L36" s="275"/>
      <c r="M36" s="275"/>
      <c r="N36" s="273"/>
      <c r="O36" s="146"/>
      <c r="P36" s="13"/>
      <c r="Q36" s="13"/>
      <c r="R36" s="62"/>
      <c r="S36" s="62"/>
      <c r="T36" s="4"/>
      <c r="U36" s="122"/>
      <c r="V36" s="21"/>
      <c r="W36" s="37"/>
      <c r="X36" s="262"/>
      <c r="Y36" s="262"/>
      <c r="Z36" s="13"/>
      <c r="AA36" s="264"/>
      <c r="AB36" s="2"/>
      <c r="AC36" s="1"/>
      <c r="AD36"/>
      <c r="AE36"/>
      <c r="AF36"/>
    </row>
    <row r="37" spans="1:32" s="59" customFormat="1" ht="15" customHeight="1" x14ac:dyDescent="0.45">
      <c r="A37" s="285" t="s">
        <v>1107</v>
      </c>
      <c r="B37" s="147"/>
      <c r="C37" s="293" t="s">
        <v>246</v>
      </c>
      <c r="D37" s="280"/>
      <c r="E37" s="263" t="s">
        <v>54</v>
      </c>
      <c r="F37" s="153"/>
      <c r="G37" s="155"/>
      <c r="H37" s="245"/>
      <c r="I37" s="176"/>
      <c r="J37" s="278"/>
      <c r="K37" s="275"/>
      <c r="L37" s="275"/>
      <c r="M37" s="275"/>
      <c r="N37" s="273"/>
      <c r="O37" s="146"/>
      <c r="P37" s="13"/>
      <c r="Q37" s="13"/>
      <c r="R37" s="62"/>
      <c r="S37" s="62"/>
      <c r="T37" s="4"/>
      <c r="U37" s="122"/>
      <c r="V37" s="21"/>
      <c r="W37" s="37"/>
      <c r="X37" s="262"/>
      <c r="Y37" s="262"/>
      <c r="Z37" s="13"/>
      <c r="AA37" s="264"/>
      <c r="AB37" s="2"/>
      <c r="AC37" s="1"/>
      <c r="AD37"/>
      <c r="AE37"/>
      <c r="AF37"/>
    </row>
    <row r="38" spans="1:32" s="59" customFormat="1" ht="15" customHeight="1" x14ac:dyDescent="0.45">
      <c r="A38" s="285" t="s">
        <v>1108</v>
      </c>
      <c r="B38" s="147"/>
      <c r="C38" s="293" t="s">
        <v>246</v>
      </c>
      <c r="D38" s="280"/>
      <c r="E38" s="263" t="s">
        <v>54</v>
      </c>
      <c r="F38" s="153"/>
      <c r="G38" s="155"/>
      <c r="H38" s="245"/>
      <c r="I38" s="176"/>
      <c r="J38" s="278"/>
      <c r="K38" s="275"/>
      <c r="L38" s="275"/>
      <c r="M38" s="275"/>
      <c r="N38" s="273"/>
      <c r="O38" s="146"/>
      <c r="P38" s="13"/>
      <c r="Q38" s="13"/>
      <c r="R38" s="62"/>
      <c r="S38" s="62"/>
      <c r="T38" s="4"/>
      <c r="U38" s="122"/>
      <c r="V38" s="21"/>
      <c r="W38" s="37"/>
      <c r="X38" s="262"/>
      <c r="Y38" s="262"/>
      <c r="Z38" s="13"/>
      <c r="AA38" s="264"/>
      <c r="AB38" s="2"/>
      <c r="AC38" s="1"/>
      <c r="AD38"/>
      <c r="AE38"/>
      <c r="AF38"/>
    </row>
    <row r="39" spans="1:32" s="59" customFormat="1" ht="15" customHeight="1" x14ac:dyDescent="0.45">
      <c r="A39" s="285" t="s">
        <v>1109</v>
      </c>
      <c r="B39" s="147"/>
      <c r="C39" s="293" t="s">
        <v>246</v>
      </c>
      <c r="D39" s="280"/>
      <c r="E39" s="263" t="s">
        <v>54</v>
      </c>
      <c r="F39" s="153"/>
      <c r="G39" s="155"/>
      <c r="H39" s="245"/>
      <c r="I39" s="176"/>
      <c r="J39" s="278"/>
      <c r="K39" s="275"/>
      <c r="L39" s="275"/>
      <c r="M39" s="275"/>
      <c r="N39" s="273"/>
      <c r="O39" s="146"/>
      <c r="P39" s="13"/>
      <c r="Q39" s="13"/>
      <c r="R39" s="62"/>
      <c r="S39" s="62"/>
      <c r="T39" s="4"/>
      <c r="U39" s="122"/>
      <c r="V39" s="21"/>
      <c r="W39" s="37"/>
      <c r="X39" s="262"/>
      <c r="Y39" s="262"/>
      <c r="Z39" s="13"/>
      <c r="AA39" s="264"/>
      <c r="AB39" s="2"/>
      <c r="AC39" s="1"/>
      <c r="AD39"/>
      <c r="AE39"/>
      <c r="AF39"/>
    </row>
    <row r="40" spans="1:32" s="59" customFormat="1" ht="15" customHeight="1" x14ac:dyDescent="0.45">
      <c r="A40" s="285" t="s">
        <v>1110</v>
      </c>
      <c r="B40" s="147"/>
      <c r="C40" s="293" t="s">
        <v>239</v>
      </c>
      <c r="D40" s="280"/>
      <c r="E40" s="263" t="s">
        <v>54</v>
      </c>
      <c r="F40" s="153"/>
      <c r="G40" s="155"/>
      <c r="H40" s="245"/>
      <c r="I40" s="176"/>
      <c r="J40" s="278"/>
      <c r="K40" s="275"/>
      <c r="L40" s="275"/>
      <c r="M40" s="275"/>
      <c r="N40" s="273"/>
      <c r="O40" s="146"/>
      <c r="P40" s="13"/>
      <c r="Q40" s="13"/>
      <c r="R40" s="62"/>
      <c r="S40" s="62"/>
      <c r="T40" s="4"/>
      <c r="U40" s="122"/>
      <c r="V40" s="21"/>
      <c r="W40" s="37"/>
      <c r="X40" s="262"/>
      <c r="Y40" s="262"/>
      <c r="Z40" s="13"/>
      <c r="AA40" s="264"/>
      <c r="AB40" s="2"/>
      <c r="AC40" s="1"/>
      <c r="AD40"/>
      <c r="AE40"/>
      <c r="AF40"/>
    </row>
    <row r="41" spans="1:32" ht="15" customHeight="1" x14ac:dyDescent="0.45">
      <c r="A41" s="272" t="s">
        <v>1111</v>
      </c>
      <c r="B41" s="13"/>
      <c r="C41" s="291"/>
      <c r="D41" s="263"/>
      <c r="E41" s="263"/>
      <c r="F41" s="151"/>
      <c r="G41" s="152"/>
      <c r="H41" s="244"/>
      <c r="I41" s="175"/>
      <c r="J41" s="62"/>
      <c r="K41" s="267"/>
      <c r="L41" s="267"/>
      <c r="M41" s="267"/>
      <c r="N41" s="273"/>
      <c r="O41" s="146"/>
      <c r="P41" s="13"/>
      <c r="Q41" s="13"/>
      <c r="R41" s="13"/>
      <c r="S41" s="13"/>
      <c r="T41" s="13"/>
      <c r="U41" s="13"/>
      <c r="V41" s="13"/>
      <c r="W41" s="13"/>
      <c r="X41" s="13"/>
      <c r="Y41" s="13"/>
      <c r="Z41" s="13"/>
      <c r="AA41" s="263"/>
      <c r="AB41" s="13"/>
      <c r="AC41" s="13"/>
    </row>
    <row r="42" spans="1:32" ht="15" customHeight="1" x14ac:dyDescent="0.45">
      <c r="A42" s="286" t="s">
        <v>1112</v>
      </c>
      <c r="B42" s="1" t="s">
        <v>1113</v>
      </c>
      <c r="C42" s="293" t="s">
        <v>239</v>
      </c>
      <c r="D42" s="264"/>
      <c r="E42" s="263" t="s">
        <v>54</v>
      </c>
      <c r="F42" s="153"/>
      <c r="G42" s="154"/>
      <c r="H42" s="245"/>
      <c r="I42" s="176"/>
      <c r="J42" s="41"/>
      <c r="K42" s="275" t="s">
        <v>54</v>
      </c>
      <c r="L42" s="275" t="s">
        <v>54</v>
      </c>
      <c r="M42" s="275" t="s">
        <v>54</v>
      </c>
      <c r="N42" s="275"/>
      <c r="O42" s="14"/>
      <c r="P42" s="2"/>
      <c r="Q42" s="2"/>
      <c r="R42" s="2" t="s">
        <v>233</v>
      </c>
      <c r="S42" s="2" t="s">
        <v>1114</v>
      </c>
      <c r="T42" s="2" t="s">
        <v>42</v>
      </c>
      <c r="U42" s="2" t="s">
        <v>234</v>
      </c>
      <c r="V42" s="2" t="s">
        <v>235</v>
      </c>
      <c r="W42" s="26" t="s">
        <v>1097</v>
      </c>
      <c r="X42" s="25" t="s">
        <v>237</v>
      </c>
      <c r="Y42" s="25" t="s">
        <v>42</v>
      </c>
      <c r="Z42" s="2" t="s">
        <v>238</v>
      </c>
      <c r="AA42" s="264"/>
      <c r="AB42" s="2"/>
      <c r="AC42" s="1" t="s">
        <v>1115</v>
      </c>
    </row>
    <row r="43" spans="1:32" ht="15" customHeight="1" x14ac:dyDescent="0.45">
      <c r="A43" s="296" t="s">
        <v>1116</v>
      </c>
      <c r="B43" s="1"/>
      <c r="C43" s="293"/>
      <c r="D43" s="264"/>
      <c r="E43" s="263"/>
      <c r="F43" s="153"/>
      <c r="G43" s="154"/>
      <c r="H43" s="245"/>
      <c r="I43" s="176"/>
      <c r="J43" s="41"/>
      <c r="K43" s="275"/>
      <c r="L43" s="275"/>
      <c r="M43" s="275"/>
      <c r="N43" s="267"/>
      <c r="O43" s="62"/>
      <c r="P43" s="2"/>
      <c r="Q43" s="62"/>
      <c r="R43" s="62"/>
      <c r="S43" s="62"/>
      <c r="T43" s="2"/>
      <c r="U43" s="62"/>
      <c r="V43" s="2"/>
      <c r="W43" s="26"/>
      <c r="X43" s="25"/>
      <c r="Y43" s="25"/>
      <c r="Z43" s="2"/>
      <c r="AA43" s="264"/>
      <c r="AB43" s="2"/>
      <c r="AC43" s="1"/>
    </row>
    <row r="44" spans="1:32" ht="15" customHeight="1" x14ac:dyDescent="0.45">
      <c r="A44" s="295" t="s">
        <v>1117</v>
      </c>
      <c r="B44" s="1" t="s">
        <v>231</v>
      </c>
      <c r="C44" s="293" t="s">
        <v>239</v>
      </c>
      <c r="D44" s="274"/>
      <c r="E44" s="263" t="s">
        <v>54</v>
      </c>
      <c r="F44" s="153"/>
      <c r="G44" s="155"/>
      <c r="H44" s="245"/>
      <c r="I44" s="177"/>
      <c r="J44" s="41"/>
      <c r="K44" s="275" t="s">
        <v>54</v>
      </c>
      <c r="L44" s="275" t="s">
        <v>54</v>
      </c>
      <c r="M44" s="275" t="s">
        <v>54</v>
      </c>
      <c r="P44" s="2"/>
      <c r="R44" s="4" t="s">
        <v>233</v>
      </c>
      <c r="S44" s="4" t="s">
        <v>623</v>
      </c>
      <c r="T44" s="2" t="s">
        <v>240</v>
      </c>
      <c r="U44" t="s">
        <v>241</v>
      </c>
      <c r="V44" s="10" t="s">
        <v>242</v>
      </c>
      <c r="W44" s="26" t="s">
        <v>243</v>
      </c>
      <c r="X44" s="26" t="s">
        <v>237</v>
      </c>
      <c r="Y44" s="26" t="s">
        <v>42</v>
      </c>
      <c r="Z44" s="2" t="s">
        <v>238</v>
      </c>
      <c r="AA44" s="264" t="s">
        <v>1118</v>
      </c>
      <c r="AB44" s="2" t="s">
        <v>244</v>
      </c>
      <c r="AC44" s="1" t="s">
        <v>1115</v>
      </c>
    </row>
    <row r="45" spans="1:32" ht="15" customHeight="1" x14ac:dyDescent="0.45">
      <c r="A45" s="295" t="s">
        <v>1119</v>
      </c>
      <c r="B45" s="1" t="s">
        <v>1120</v>
      </c>
      <c r="C45" s="293"/>
      <c r="D45" s="274"/>
      <c r="E45" s="263"/>
      <c r="F45" s="153"/>
      <c r="G45" s="155"/>
      <c r="H45" s="245"/>
      <c r="I45" s="177"/>
      <c r="J45" s="41"/>
      <c r="K45" s="275"/>
      <c r="L45" s="275"/>
      <c r="M45" s="275"/>
      <c r="P45" s="2"/>
      <c r="T45" s="2"/>
      <c r="U45"/>
      <c r="V45" s="10"/>
      <c r="W45" s="26"/>
      <c r="X45" s="26"/>
      <c r="Y45" s="26"/>
      <c r="Z45" s="2"/>
      <c r="AA45" s="264"/>
      <c r="AB45" s="2"/>
      <c r="AC45" s="1"/>
    </row>
    <row r="46" spans="1:32" ht="15" customHeight="1" x14ac:dyDescent="0.45">
      <c r="A46" s="295" t="s">
        <v>1121</v>
      </c>
      <c r="B46" s="1" t="s">
        <v>1122</v>
      </c>
      <c r="C46" s="293"/>
      <c r="D46" s="274"/>
      <c r="E46" s="263"/>
      <c r="F46" s="153"/>
      <c r="G46" s="155"/>
      <c r="H46" s="245"/>
      <c r="I46" s="177"/>
      <c r="J46" s="41"/>
      <c r="K46" s="275"/>
      <c r="L46" s="275"/>
      <c r="M46" s="275"/>
      <c r="P46" s="2"/>
      <c r="T46" s="2"/>
      <c r="U46"/>
      <c r="V46" s="10"/>
      <c r="W46" s="26"/>
      <c r="X46" s="26"/>
      <c r="Y46" s="26"/>
      <c r="Z46" s="2"/>
      <c r="AA46" s="264"/>
      <c r="AB46" s="2"/>
      <c r="AC46" s="1"/>
    </row>
    <row r="47" spans="1:32" ht="15" customHeight="1" x14ac:dyDescent="0.45">
      <c r="A47" s="286" t="s">
        <v>1123</v>
      </c>
      <c r="B47" s="1" t="s">
        <v>231</v>
      </c>
      <c r="C47" s="293" t="s">
        <v>239</v>
      </c>
      <c r="D47" s="274"/>
      <c r="E47" s="263" t="s">
        <v>54</v>
      </c>
      <c r="F47" s="153"/>
      <c r="G47" s="155"/>
      <c r="H47" s="245"/>
      <c r="I47" s="177"/>
      <c r="J47" s="41"/>
      <c r="K47" s="275" t="s">
        <v>54</v>
      </c>
      <c r="L47" s="275" t="s">
        <v>54</v>
      </c>
      <c r="M47" s="275" t="s">
        <v>54</v>
      </c>
      <c r="P47" s="2"/>
      <c r="Q47" s="2"/>
      <c r="R47" s="2" t="s">
        <v>248</v>
      </c>
      <c r="S47" s="2" t="s">
        <v>625</v>
      </c>
      <c r="T47" s="2" t="s">
        <v>240</v>
      </c>
      <c r="U47" s="2" t="s">
        <v>249</v>
      </c>
      <c r="V47" s="10" t="s">
        <v>242</v>
      </c>
      <c r="W47" s="25" t="s">
        <v>1124</v>
      </c>
      <c r="X47" s="26" t="s">
        <v>237</v>
      </c>
      <c r="Y47" s="26" t="s">
        <v>42</v>
      </c>
      <c r="Z47" s="2" t="s">
        <v>238</v>
      </c>
      <c r="AA47" s="61" t="s">
        <v>250</v>
      </c>
      <c r="AB47" s="2" t="s">
        <v>244</v>
      </c>
      <c r="AC47" s="1"/>
    </row>
    <row r="48" spans="1:32" ht="15" customHeight="1" x14ac:dyDescent="0.45">
      <c r="A48" s="286" t="s">
        <v>1125</v>
      </c>
      <c r="B48" s="1"/>
      <c r="C48" s="293" t="s">
        <v>239</v>
      </c>
      <c r="D48" s="274"/>
      <c r="E48" s="263" t="s">
        <v>54</v>
      </c>
      <c r="F48" s="156"/>
      <c r="G48" s="154"/>
      <c r="H48" s="246"/>
      <c r="I48" s="178"/>
      <c r="J48" s="41"/>
      <c r="K48" s="275" t="s">
        <v>54</v>
      </c>
      <c r="L48" s="275" t="s">
        <v>54</v>
      </c>
      <c r="M48" s="275" t="s">
        <v>54</v>
      </c>
      <c r="N48" s="275"/>
      <c r="O48" s="14"/>
      <c r="P48" s="2"/>
      <c r="Q48" s="2"/>
      <c r="R48" s="2" t="s">
        <v>248</v>
      </c>
      <c r="S48" s="2" t="s">
        <v>627</v>
      </c>
      <c r="T48" s="2" t="s">
        <v>253</v>
      </c>
      <c r="U48" s="120" t="s">
        <v>254</v>
      </c>
      <c r="V48" s="2" t="s">
        <v>235</v>
      </c>
      <c r="W48" s="26" t="s">
        <v>1097</v>
      </c>
      <c r="X48" s="26" t="s">
        <v>255</v>
      </c>
      <c r="Y48" s="26" t="s">
        <v>256</v>
      </c>
      <c r="Z48" s="2" t="s">
        <v>238</v>
      </c>
      <c r="AA48" s="264"/>
      <c r="AB48" s="2"/>
      <c r="AC48" s="1" t="s">
        <v>257</v>
      </c>
    </row>
    <row r="49" spans="1:29" ht="15" customHeight="1" x14ac:dyDescent="0.45">
      <c r="A49" s="286" t="s">
        <v>1126</v>
      </c>
      <c r="B49" s="1"/>
      <c r="C49" s="293" t="s">
        <v>239</v>
      </c>
      <c r="D49" s="274"/>
      <c r="E49" s="263" t="s">
        <v>54</v>
      </c>
      <c r="F49" s="156"/>
      <c r="G49" s="154"/>
      <c r="H49" s="246"/>
      <c r="I49" s="178"/>
      <c r="J49" s="41"/>
      <c r="K49" s="275"/>
      <c r="L49" s="275"/>
      <c r="M49" s="275"/>
      <c r="N49" s="275"/>
      <c r="O49" s="14"/>
      <c r="P49" s="2"/>
      <c r="Q49" s="2"/>
      <c r="R49" s="2"/>
      <c r="S49" s="2"/>
      <c r="T49" s="2"/>
      <c r="U49" s="120"/>
      <c r="V49" s="2"/>
      <c r="W49" s="26"/>
      <c r="X49" s="26"/>
      <c r="Y49" s="26"/>
      <c r="Z49" s="2"/>
      <c r="AA49" s="264"/>
      <c r="AB49" s="2"/>
      <c r="AC49" s="1"/>
    </row>
    <row r="50" spans="1:29" ht="15" customHeight="1" x14ac:dyDescent="0.45">
      <c r="A50" s="296" t="s">
        <v>1127</v>
      </c>
      <c r="B50" s="1"/>
      <c r="C50" s="293"/>
      <c r="D50" s="274"/>
      <c r="E50" s="263"/>
      <c r="F50" s="156"/>
      <c r="G50" s="154"/>
      <c r="H50" s="246"/>
      <c r="I50" s="178"/>
      <c r="J50" s="41"/>
      <c r="K50" s="275"/>
      <c r="L50" s="275"/>
      <c r="M50" s="275"/>
      <c r="N50" s="275"/>
      <c r="O50" s="14"/>
      <c r="P50" s="2"/>
      <c r="Q50" s="2"/>
      <c r="R50" s="2"/>
      <c r="S50" s="2"/>
      <c r="T50" s="2"/>
      <c r="U50" s="120"/>
      <c r="V50" s="2"/>
      <c r="W50" s="26"/>
      <c r="X50" s="26"/>
      <c r="Y50" s="26"/>
      <c r="Z50" s="2"/>
      <c r="AA50" s="264"/>
      <c r="AB50" s="2"/>
      <c r="AC50" s="1"/>
    </row>
    <row r="51" spans="1:29" ht="15" customHeight="1" x14ac:dyDescent="0.45">
      <c r="A51" s="295" t="s">
        <v>1127</v>
      </c>
      <c r="B51" s="1" t="s">
        <v>231</v>
      </c>
      <c r="C51" s="293" t="s">
        <v>239</v>
      </c>
      <c r="D51" s="274"/>
      <c r="E51" s="263" t="s">
        <v>54</v>
      </c>
      <c r="F51" s="153"/>
      <c r="G51" s="155"/>
      <c r="H51" s="245"/>
      <c r="I51" s="177"/>
      <c r="J51" s="41"/>
      <c r="K51" s="275" t="s">
        <v>54</v>
      </c>
      <c r="L51" s="275" t="s">
        <v>54</v>
      </c>
      <c r="M51" s="275" t="s">
        <v>54</v>
      </c>
      <c r="N51" s="275"/>
      <c r="O51" s="14"/>
      <c r="P51" s="2"/>
      <c r="Q51" s="2"/>
      <c r="R51" s="2" t="s">
        <v>278</v>
      </c>
      <c r="S51" s="2" t="s">
        <v>639</v>
      </c>
      <c r="T51" s="2" t="s">
        <v>282</v>
      </c>
      <c r="U51" s="120" t="s">
        <v>279</v>
      </c>
      <c r="V51" s="10" t="s">
        <v>283</v>
      </c>
      <c r="W51" s="26" t="s">
        <v>284</v>
      </c>
      <c r="X51" s="26" t="s">
        <v>237</v>
      </c>
      <c r="Y51" s="26" t="s">
        <v>42</v>
      </c>
      <c r="Z51" s="2" t="s">
        <v>238</v>
      </c>
      <c r="AA51" s="264"/>
      <c r="AB51" s="2" t="s">
        <v>244</v>
      </c>
      <c r="AC51" s="1" t="s">
        <v>1070</v>
      </c>
    </row>
    <row r="52" spans="1:29" ht="15" customHeight="1" x14ac:dyDescent="0.45">
      <c r="A52" s="295" t="s">
        <v>1128</v>
      </c>
      <c r="B52" s="276" t="s">
        <v>1129</v>
      </c>
      <c r="C52" s="294"/>
      <c r="D52" s="277"/>
      <c r="E52" s="263"/>
      <c r="F52" s="186"/>
      <c r="G52" s="252"/>
      <c r="H52" s="252"/>
      <c r="I52" s="252"/>
      <c r="J52" s="278"/>
      <c r="K52" s="267"/>
      <c r="L52" s="267"/>
      <c r="M52" s="267"/>
      <c r="N52" s="267"/>
      <c r="O52" s="62"/>
      <c r="P52" s="62"/>
      <c r="Q52" s="62"/>
      <c r="R52" s="62"/>
      <c r="S52" s="62"/>
      <c r="T52" s="62"/>
      <c r="U52" s="121"/>
      <c r="V52" s="22"/>
      <c r="W52" s="36"/>
      <c r="X52" s="36"/>
      <c r="Y52" s="36"/>
      <c r="Z52" s="62"/>
      <c r="AA52" s="267"/>
      <c r="AB52" s="62"/>
      <c r="AC52" s="276"/>
    </row>
    <row r="53" spans="1:29" ht="15" customHeight="1" x14ac:dyDescent="0.45">
      <c r="A53" s="295" t="s">
        <v>1130</v>
      </c>
      <c r="B53" s="4" t="s">
        <v>1131</v>
      </c>
      <c r="C53" s="294" t="s">
        <v>246</v>
      </c>
      <c r="D53" s="277"/>
      <c r="E53" s="263"/>
      <c r="F53" s="186"/>
      <c r="G53" s="252"/>
      <c r="H53" s="252"/>
      <c r="I53" s="252"/>
      <c r="J53" s="278"/>
      <c r="K53" s="267"/>
      <c r="L53" s="267"/>
      <c r="M53" s="267"/>
      <c r="N53" s="267"/>
      <c r="O53" s="62"/>
      <c r="P53" s="62"/>
      <c r="Q53" s="62"/>
      <c r="R53" s="62"/>
      <c r="S53" s="62"/>
      <c r="T53" s="62"/>
      <c r="U53" s="121"/>
      <c r="V53" s="22"/>
      <c r="W53" s="36"/>
      <c r="X53" s="36"/>
      <c r="Y53" s="36"/>
      <c r="Z53" s="62"/>
      <c r="AA53" s="267"/>
      <c r="AB53" s="62"/>
      <c r="AC53" s="276"/>
    </row>
    <row r="54" spans="1:29" ht="15" customHeight="1" x14ac:dyDescent="0.45">
      <c r="A54" s="295" t="s">
        <v>1132</v>
      </c>
      <c r="B54" s="4" t="s">
        <v>1131</v>
      </c>
      <c r="C54" s="294"/>
      <c r="D54" s="277"/>
      <c r="E54" s="263"/>
      <c r="F54" s="186"/>
      <c r="G54" s="252"/>
      <c r="H54" s="252"/>
      <c r="I54" s="252"/>
      <c r="J54" s="278"/>
      <c r="K54" s="267"/>
      <c r="L54" s="267"/>
      <c r="M54" s="267"/>
      <c r="N54" s="267"/>
      <c r="O54" s="62"/>
      <c r="P54" s="62"/>
      <c r="Q54" s="62"/>
      <c r="R54" s="62"/>
      <c r="S54" s="62"/>
      <c r="T54" s="62"/>
      <c r="U54" s="121"/>
      <c r="V54" s="22"/>
      <c r="W54" s="36"/>
      <c r="X54" s="36"/>
      <c r="Y54" s="36"/>
      <c r="Z54" s="62"/>
      <c r="AA54" s="267"/>
      <c r="AB54" s="62"/>
      <c r="AC54" s="276"/>
    </row>
    <row r="55" spans="1:29" ht="15" customHeight="1" x14ac:dyDescent="0.45">
      <c r="A55" s="295" t="s">
        <v>1133</v>
      </c>
      <c r="B55" s="4" t="s">
        <v>1131</v>
      </c>
      <c r="C55" s="294"/>
      <c r="D55" s="277"/>
      <c r="E55" s="263"/>
      <c r="F55" s="186"/>
      <c r="G55" s="252"/>
      <c r="H55" s="252"/>
      <c r="I55" s="252"/>
      <c r="J55" s="278"/>
      <c r="K55" s="267"/>
      <c r="L55" s="267"/>
      <c r="M55" s="267"/>
      <c r="N55" s="267"/>
      <c r="O55" s="62"/>
      <c r="P55" s="62"/>
      <c r="Q55" s="62"/>
      <c r="R55" s="62"/>
      <c r="S55" s="62"/>
      <c r="T55" s="62"/>
      <c r="U55" s="121"/>
      <c r="V55" s="22"/>
      <c r="W55" s="36"/>
      <c r="X55" s="36"/>
      <c r="Y55" s="36"/>
      <c r="Z55" s="62"/>
      <c r="AA55" s="267"/>
      <c r="AB55" s="62"/>
      <c r="AC55" s="276"/>
    </row>
    <row r="56" spans="1:29" ht="15" customHeight="1" x14ac:dyDescent="0.45">
      <c r="A56" s="295" t="s">
        <v>1134</v>
      </c>
      <c r="B56" s="4" t="s">
        <v>1131</v>
      </c>
      <c r="C56" s="294"/>
      <c r="D56" s="277"/>
      <c r="E56" s="263"/>
      <c r="F56" s="186"/>
      <c r="G56" s="252"/>
      <c r="H56" s="252"/>
      <c r="I56" s="252"/>
      <c r="J56" s="278"/>
      <c r="K56" s="267"/>
      <c r="L56" s="267"/>
      <c r="M56" s="267"/>
      <c r="N56" s="267"/>
      <c r="O56" s="62"/>
      <c r="P56" s="62"/>
      <c r="Q56" s="62"/>
      <c r="R56" s="62"/>
      <c r="S56" s="62"/>
      <c r="T56" s="62"/>
      <c r="U56" s="121"/>
      <c r="V56" s="22"/>
      <c r="W56" s="36"/>
      <c r="X56" s="36"/>
      <c r="Y56" s="36"/>
      <c r="Z56" s="62"/>
      <c r="AA56" s="267"/>
      <c r="AB56" s="62"/>
      <c r="AC56" s="276"/>
    </row>
    <row r="57" spans="1:29" ht="15" customHeight="1" x14ac:dyDescent="0.45">
      <c r="A57" s="286" t="s">
        <v>1135</v>
      </c>
      <c r="B57" s="276"/>
      <c r="C57" s="294" t="s">
        <v>239</v>
      </c>
      <c r="D57" s="277"/>
      <c r="E57" s="263" t="s">
        <v>54</v>
      </c>
      <c r="F57" s="186"/>
      <c r="G57" s="252"/>
      <c r="H57" s="252"/>
      <c r="I57" s="252"/>
      <c r="J57" s="278"/>
      <c r="K57" s="267"/>
      <c r="L57" s="267"/>
      <c r="M57" s="267"/>
      <c r="N57" s="267"/>
      <c r="O57" s="62"/>
      <c r="P57" s="62"/>
      <c r="Q57" s="62"/>
      <c r="R57" s="62"/>
      <c r="S57" s="62"/>
      <c r="T57" s="62"/>
      <c r="U57" s="121"/>
      <c r="V57" s="22"/>
      <c r="W57" s="36"/>
      <c r="X57" s="36"/>
      <c r="Y57" s="36"/>
      <c r="Z57" s="62"/>
      <c r="AA57" s="267"/>
      <c r="AB57" s="62"/>
      <c r="AC57" s="276"/>
    </row>
    <row r="58" spans="1:29" ht="15" customHeight="1" x14ac:dyDescent="0.45">
      <c r="A58" s="286" t="s">
        <v>1136</v>
      </c>
      <c r="B58" s="276"/>
      <c r="C58" s="294"/>
      <c r="D58" s="277"/>
      <c r="E58" s="267"/>
      <c r="F58" s="186"/>
      <c r="G58" s="252"/>
      <c r="H58" s="252"/>
      <c r="I58" s="252"/>
      <c r="J58" s="278"/>
      <c r="K58" s="267"/>
      <c r="L58" s="267"/>
      <c r="M58" s="267"/>
      <c r="N58" s="267"/>
      <c r="O58" s="62"/>
      <c r="P58" s="62"/>
      <c r="Q58" s="62"/>
      <c r="R58" s="62"/>
      <c r="S58" s="62"/>
      <c r="T58" s="62"/>
      <c r="U58" s="121"/>
      <c r="V58" s="22"/>
      <c r="W58" s="36"/>
      <c r="X58" s="36"/>
      <c r="Y58" s="36"/>
      <c r="Z58" s="62"/>
      <c r="AA58" s="267"/>
      <c r="AB58" s="62"/>
      <c r="AC58" s="276"/>
    </row>
    <row r="59" spans="1:29" ht="15" customHeight="1" x14ac:dyDescent="0.45">
      <c r="A59" s="286" t="s">
        <v>1137</v>
      </c>
      <c r="B59" s="276"/>
      <c r="C59" s="294"/>
      <c r="D59" s="277"/>
      <c r="E59" s="267"/>
      <c r="F59" s="186"/>
      <c r="G59" s="252"/>
      <c r="H59" s="252"/>
      <c r="I59" s="252"/>
      <c r="J59" s="278"/>
      <c r="K59" s="267"/>
      <c r="L59" s="267"/>
      <c r="M59" s="267"/>
      <c r="N59" s="267"/>
      <c r="O59" s="62"/>
      <c r="P59" s="62"/>
      <c r="Q59" s="62"/>
      <c r="R59" s="62"/>
      <c r="S59" s="62"/>
      <c r="T59" s="62"/>
      <c r="U59" s="121"/>
      <c r="V59" s="22"/>
      <c r="W59" s="36"/>
      <c r="X59" s="36"/>
      <c r="Y59" s="36"/>
      <c r="Z59" s="62"/>
      <c r="AA59" s="267"/>
      <c r="AB59" s="62"/>
      <c r="AC59" s="276"/>
    </row>
    <row r="60" spans="1:29" ht="15" customHeight="1" x14ac:dyDescent="0.45">
      <c r="A60" s="284" t="s">
        <v>1138</v>
      </c>
    </row>
    <row r="61" spans="1:29" ht="15" customHeight="1" x14ac:dyDescent="0.45">
      <c r="A61" s="287" t="s">
        <v>1139</v>
      </c>
    </row>
    <row r="62" spans="1:29" s="59" customFormat="1" ht="15" customHeight="1" x14ac:dyDescent="0.45">
      <c r="A62" s="285" t="s">
        <v>1140</v>
      </c>
      <c r="B62" s="1"/>
      <c r="C62" s="54" t="s">
        <v>239</v>
      </c>
      <c r="D62" s="274"/>
      <c r="E62" s="263" t="s">
        <v>54</v>
      </c>
      <c r="F62" s="163"/>
      <c r="G62" s="164"/>
      <c r="H62" s="249"/>
      <c r="I62" s="179"/>
      <c r="J62" s="41"/>
      <c r="K62" s="275" t="s">
        <v>54</v>
      </c>
      <c r="L62" s="275" t="s">
        <v>54</v>
      </c>
      <c r="M62" s="275" t="s">
        <v>54</v>
      </c>
      <c r="N62" s="279"/>
      <c r="O62" s="56"/>
      <c r="P62" s="57"/>
      <c r="Q62" s="57"/>
      <c r="R62" s="2" t="s">
        <v>289</v>
      </c>
      <c r="S62" s="123" t="s">
        <v>676</v>
      </c>
      <c r="T62" s="58"/>
      <c r="U62" s="122" t="s">
        <v>320</v>
      </c>
      <c r="V62" s="21"/>
      <c r="W62" s="37"/>
      <c r="X62" s="26"/>
      <c r="Y62" s="26"/>
      <c r="Z62" s="57"/>
      <c r="AA62" s="264"/>
      <c r="AB62" s="2"/>
      <c r="AC62" s="1"/>
    </row>
    <row r="63" spans="1:29" s="59" customFormat="1" ht="15" customHeight="1" x14ac:dyDescent="0.45">
      <c r="A63" s="285" t="s">
        <v>1141</v>
      </c>
      <c r="B63" s="1"/>
      <c r="C63" s="54" t="s">
        <v>239</v>
      </c>
      <c r="D63" s="274"/>
      <c r="E63" s="263" t="s">
        <v>54</v>
      </c>
      <c r="F63" s="163"/>
      <c r="G63" s="164"/>
      <c r="H63" s="249"/>
      <c r="I63" s="179"/>
      <c r="J63" s="41"/>
      <c r="K63" s="275" t="s">
        <v>54</v>
      </c>
      <c r="L63" s="275" t="s">
        <v>54</v>
      </c>
      <c r="M63" s="275" t="s">
        <v>54</v>
      </c>
      <c r="N63" s="279"/>
      <c r="O63" s="56"/>
      <c r="P63" s="57"/>
      <c r="Q63" s="57"/>
      <c r="R63" s="2" t="s">
        <v>289</v>
      </c>
      <c r="S63" s="123" t="s">
        <v>676</v>
      </c>
      <c r="T63" s="58"/>
      <c r="U63" s="122" t="s">
        <v>320</v>
      </c>
      <c r="V63" s="21"/>
      <c r="W63" s="37"/>
      <c r="X63" s="26"/>
      <c r="Y63" s="26"/>
      <c r="Z63" s="57"/>
      <c r="AA63" s="264"/>
      <c r="AB63" s="2"/>
      <c r="AC63" s="1"/>
    </row>
    <row r="64" spans="1:29" ht="15" customHeight="1" x14ac:dyDescent="0.45">
      <c r="A64" s="287" t="s">
        <v>1142</v>
      </c>
    </row>
    <row r="65" spans="1:32" s="59" customFormat="1" ht="15" customHeight="1" x14ac:dyDescent="0.45">
      <c r="A65" s="285" t="s">
        <v>1143</v>
      </c>
      <c r="B65" s="1"/>
      <c r="C65" s="54" t="s">
        <v>239</v>
      </c>
      <c r="D65" s="274"/>
      <c r="E65" s="263" t="s">
        <v>54</v>
      </c>
      <c r="F65" s="163"/>
      <c r="G65" s="164"/>
      <c r="H65" s="249"/>
      <c r="I65" s="179"/>
      <c r="J65" s="41"/>
      <c r="K65" s="275" t="s">
        <v>54</v>
      </c>
      <c r="L65" s="275" t="s">
        <v>54</v>
      </c>
      <c r="M65" s="275" t="s">
        <v>54</v>
      </c>
      <c r="N65" s="279"/>
      <c r="O65" s="56"/>
      <c r="P65" s="57"/>
      <c r="Q65" s="57"/>
      <c r="R65" s="2" t="s">
        <v>289</v>
      </c>
      <c r="S65" s="123" t="s">
        <v>676</v>
      </c>
      <c r="T65" s="58"/>
      <c r="U65" s="122" t="s">
        <v>320</v>
      </c>
      <c r="V65" s="21"/>
      <c r="W65" s="37"/>
      <c r="X65" s="26"/>
      <c r="Y65" s="26"/>
      <c r="Z65" s="57"/>
      <c r="AA65" s="264"/>
      <c r="AB65" s="2"/>
      <c r="AC65" s="1"/>
    </row>
    <row r="66" spans="1:32" s="59" customFormat="1" ht="15" customHeight="1" x14ac:dyDescent="0.45">
      <c r="A66" s="285" t="s">
        <v>1144</v>
      </c>
      <c r="B66" s="1"/>
      <c r="C66" s="54" t="s">
        <v>239</v>
      </c>
      <c r="D66" s="274"/>
      <c r="E66" s="263" t="s">
        <v>54</v>
      </c>
      <c r="F66" s="163"/>
      <c r="G66" s="164"/>
      <c r="H66" s="249"/>
      <c r="I66" s="179"/>
      <c r="J66" s="41"/>
      <c r="K66" s="275" t="s">
        <v>54</v>
      </c>
      <c r="L66" s="275" t="s">
        <v>54</v>
      </c>
      <c r="M66" s="275" t="s">
        <v>54</v>
      </c>
      <c r="N66" s="279"/>
      <c r="O66" s="56"/>
      <c r="P66" s="57"/>
      <c r="Q66" s="57"/>
      <c r="R66" s="2" t="s">
        <v>289</v>
      </c>
      <c r="S66" s="123" t="s">
        <v>676</v>
      </c>
      <c r="T66" s="58"/>
      <c r="U66" s="122" t="s">
        <v>320</v>
      </c>
      <c r="V66" s="21"/>
      <c r="W66" s="37"/>
      <c r="X66" s="26"/>
      <c r="Y66" s="26"/>
      <c r="Z66" s="57"/>
      <c r="AA66" s="264"/>
      <c r="AB66" s="2"/>
      <c r="AC66" s="1"/>
    </row>
    <row r="67" spans="1:32" s="59" customFormat="1" ht="15" customHeight="1" x14ac:dyDescent="0.45">
      <c r="A67" s="285" t="s">
        <v>1145</v>
      </c>
      <c r="B67" s="1"/>
      <c r="C67" s="54" t="s">
        <v>239</v>
      </c>
      <c r="D67" s="274"/>
      <c r="E67" s="263" t="s">
        <v>54</v>
      </c>
      <c r="F67" s="163"/>
      <c r="G67" s="164"/>
      <c r="H67" s="249"/>
      <c r="I67" s="179"/>
      <c r="J67" s="41"/>
      <c r="K67" s="275" t="s">
        <v>54</v>
      </c>
      <c r="L67" s="275" t="s">
        <v>54</v>
      </c>
      <c r="M67" s="275" t="s">
        <v>54</v>
      </c>
      <c r="N67" s="279"/>
      <c r="O67" s="56"/>
      <c r="P67" s="57"/>
      <c r="Q67" s="57"/>
      <c r="R67" s="2" t="s">
        <v>289</v>
      </c>
      <c r="S67" s="123" t="s">
        <v>676</v>
      </c>
      <c r="T67" s="58"/>
      <c r="U67" s="122" t="s">
        <v>320</v>
      </c>
      <c r="V67" s="21"/>
      <c r="W67" s="37"/>
      <c r="X67" s="26"/>
      <c r="Y67" s="26"/>
      <c r="Z67" s="57"/>
      <c r="AA67" s="264"/>
      <c r="AB67" s="2"/>
      <c r="AC67" s="1"/>
    </row>
    <row r="68" spans="1:32" ht="14.25" x14ac:dyDescent="0.45">
      <c r="A68" s="282" t="s">
        <v>1146</v>
      </c>
    </row>
    <row r="69" spans="1:32" ht="15" customHeight="1" x14ac:dyDescent="0.45">
      <c r="A69" s="283" t="s">
        <v>1147</v>
      </c>
      <c r="B69" s="13"/>
      <c r="C69" s="293" t="s">
        <v>1148</v>
      </c>
      <c r="D69" s="263"/>
      <c r="E69" s="263" t="s">
        <v>54</v>
      </c>
      <c r="F69" s="151" t="s">
        <v>259</v>
      </c>
      <c r="G69" s="152" t="s">
        <v>259</v>
      </c>
      <c r="H69" s="244" t="s">
        <v>259</v>
      </c>
      <c r="I69" s="175" t="s">
        <v>259</v>
      </c>
      <c r="J69" s="259"/>
      <c r="K69" s="275" t="s">
        <v>54</v>
      </c>
      <c r="L69" s="275" t="s">
        <v>54</v>
      </c>
      <c r="M69" s="275" t="s">
        <v>54</v>
      </c>
      <c r="N69" s="263" t="s">
        <v>259</v>
      </c>
      <c r="O69" s="13" t="s">
        <v>259</v>
      </c>
      <c r="P69" s="13" t="s">
        <v>259</v>
      </c>
      <c r="Q69" s="13" t="s">
        <v>259</v>
      </c>
      <c r="R69" s="13" t="s">
        <v>259</v>
      </c>
      <c r="S69" s="13" t="s">
        <v>259</v>
      </c>
      <c r="T69" s="13" t="s">
        <v>259</v>
      </c>
      <c r="U69" s="13" t="s">
        <v>259</v>
      </c>
      <c r="V69" s="13" t="s">
        <v>259</v>
      </c>
      <c r="W69" s="13" t="s">
        <v>259</v>
      </c>
      <c r="X69" s="13" t="s">
        <v>259</v>
      </c>
      <c r="Y69" s="13" t="s">
        <v>259</v>
      </c>
      <c r="Z69" s="13" t="s">
        <v>259</v>
      </c>
      <c r="AA69" s="264" t="s">
        <v>301</v>
      </c>
      <c r="AB69" s="2" t="s">
        <v>244</v>
      </c>
      <c r="AC69" s="2"/>
    </row>
    <row r="70" spans="1:32" ht="15" customHeight="1" x14ac:dyDescent="0.45">
      <c r="A70" s="283" t="s">
        <v>1149</v>
      </c>
      <c r="B70" s="1"/>
      <c r="C70" s="293" t="s">
        <v>1148</v>
      </c>
      <c r="D70" s="264"/>
      <c r="E70" s="263" t="s">
        <v>54</v>
      </c>
      <c r="F70" s="159"/>
      <c r="G70" s="155"/>
      <c r="H70" s="245"/>
      <c r="I70" s="177"/>
      <c r="J70" s="41"/>
      <c r="K70" s="275" t="s">
        <v>54</v>
      </c>
      <c r="L70" s="275" t="s">
        <v>54</v>
      </c>
      <c r="M70" s="275" t="s">
        <v>54</v>
      </c>
      <c r="N70" s="275"/>
      <c r="O70" s="14"/>
      <c r="P70" s="2"/>
      <c r="Q70" s="2"/>
      <c r="R70" s="2" t="s">
        <v>278</v>
      </c>
      <c r="S70" s="2" t="s">
        <v>660</v>
      </c>
      <c r="T70" s="2" t="s">
        <v>303</v>
      </c>
      <c r="U70" s="120" t="s">
        <v>279</v>
      </c>
      <c r="V70" s="10" t="s">
        <v>283</v>
      </c>
      <c r="W70" s="26" t="s">
        <v>285</v>
      </c>
      <c r="X70" s="26" t="s">
        <v>237</v>
      </c>
      <c r="Y70" s="26" t="s">
        <v>299</v>
      </c>
      <c r="Z70" s="2" t="s">
        <v>238</v>
      </c>
      <c r="AA70" s="264"/>
      <c r="AB70" s="2" t="s">
        <v>244</v>
      </c>
      <c r="AC70" s="2"/>
    </row>
    <row r="71" spans="1:32" ht="14.25" x14ac:dyDescent="0.45"/>
    <row r="72" spans="1:32" ht="14.25" x14ac:dyDescent="0.45"/>
    <row r="73" spans="1:32" ht="14.25" x14ac:dyDescent="0.45"/>
    <row r="74" spans="1:32" ht="14.25" x14ac:dyDescent="0.45"/>
    <row r="75" spans="1:32" ht="14.25" x14ac:dyDescent="0.45"/>
    <row r="76" spans="1:32" s="15" customFormat="1" ht="14.25" x14ac:dyDescent="0.45">
      <c r="A76" s="4"/>
      <c r="B76" s="4"/>
      <c r="C76" s="54"/>
      <c r="J76" s="16"/>
      <c r="O76" s="4"/>
      <c r="P76" s="4"/>
      <c r="Q76" s="4"/>
      <c r="R76" s="4"/>
      <c r="S76" s="4"/>
      <c r="T76" s="4"/>
      <c r="U76" s="4"/>
      <c r="V76" s="4"/>
      <c r="W76" s="29"/>
      <c r="X76" s="29"/>
      <c r="Y76" s="29"/>
      <c r="Z76" s="4"/>
      <c r="AB76" s="4"/>
      <c r="AC76" s="4"/>
      <c r="AD76"/>
      <c r="AE76"/>
      <c r="AF76"/>
    </row>
    <row r="77" spans="1:32" s="15" customFormat="1" ht="14.25" x14ac:dyDescent="0.45">
      <c r="A77" s="4"/>
      <c r="B77" s="4"/>
      <c r="C77" s="54"/>
      <c r="J77" s="16"/>
      <c r="O77" s="4"/>
      <c r="P77" s="4"/>
      <c r="Q77" s="4"/>
      <c r="R77" s="4"/>
      <c r="S77" s="4"/>
      <c r="T77" s="4"/>
      <c r="U77" s="4"/>
      <c r="V77" s="4"/>
      <c r="W77" s="29"/>
      <c r="X77" s="29"/>
      <c r="Y77" s="29"/>
      <c r="Z77" s="4"/>
      <c r="AB77" s="4"/>
      <c r="AC77" s="4"/>
      <c r="AD77"/>
      <c r="AE77"/>
      <c r="AF77"/>
    </row>
    <row r="78" spans="1:32" s="15" customFormat="1" ht="14.25" x14ac:dyDescent="0.45">
      <c r="A78" s="4"/>
      <c r="B78" s="4"/>
      <c r="C78" s="54"/>
      <c r="J78" s="16"/>
      <c r="O78" s="4"/>
      <c r="P78" s="4"/>
      <c r="Q78" s="4"/>
      <c r="R78" s="4"/>
      <c r="S78" s="4"/>
      <c r="T78" s="4"/>
      <c r="U78" s="4"/>
      <c r="V78" s="4"/>
      <c r="W78" s="29"/>
      <c r="X78" s="29"/>
      <c r="Y78" s="29"/>
      <c r="Z78" s="4"/>
      <c r="AB78" s="4"/>
      <c r="AC78" s="4"/>
      <c r="AD78"/>
      <c r="AE78"/>
      <c r="AF78"/>
    </row>
    <row r="79" spans="1:32" s="15" customFormat="1" ht="14.25" x14ac:dyDescent="0.45">
      <c r="A79" s="4"/>
      <c r="B79" s="4"/>
      <c r="C79" s="54"/>
      <c r="J79" s="16"/>
      <c r="O79" s="4"/>
      <c r="P79" s="4"/>
      <c r="Q79" s="4"/>
      <c r="R79" s="4"/>
      <c r="S79" s="4"/>
      <c r="T79" s="4"/>
      <c r="U79" s="4"/>
      <c r="V79" s="4"/>
      <c r="W79" s="29"/>
      <c r="X79" s="29"/>
      <c r="Y79" s="29"/>
      <c r="Z79" s="4"/>
      <c r="AB79" s="4"/>
      <c r="AC79" s="4"/>
      <c r="AD79"/>
      <c r="AE79"/>
      <c r="AF79"/>
    </row>
    <row r="80" spans="1:32" s="15" customFormat="1" ht="14.25" x14ac:dyDescent="0.45">
      <c r="A80" s="4"/>
      <c r="B80" s="4"/>
      <c r="C80" s="54"/>
      <c r="J80" s="16"/>
      <c r="O80" s="4"/>
      <c r="P80" s="4"/>
      <c r="Q80" s="4"/>
      <c r="R80" s="4"/>
      <c r="S80" s="4"/>
      <c r="T80" s="4"/>
      <c r="U80" s="4"/>
      <c r="V80" s="4"/>
      <c r="W80" s="29"/>
      <c r="X80" s="29"/>
      <c r="Y80" s="29"/>
      <c r="Z80" s="4"/>
      <c r="AB80" s="4"/>
      <c r="AC80" s="4"/>
      <c r="AD80"/>
      <c r="AE80"/>
      <c r="AF80"/>
    </row>
    <row r="81" spans="1:32" s="15" customFormat="1" ht="14.25" x14ac:dyDescent="0.45">
      <c r="A81" s="4"/>
      <c r="B81" s="4"/>
      <c r="C81" s="54"/>
      <c r="J81" s="16"/>
      <c r="O81" s="4"/>
      <c r="P81" s="4"/>
      <c r="Q81" s="4"/>
      <c r="R81" s="4"/>
      <c r="S81" s="4"/>
      <c r="T81" s="4"/>
      <c r="U81" s="4"/>
      <c r="V81" s="4"/>
      <c r="W81" s="29"/>
      <c r="X81" s="29"/>
      <c r="Y81" s="29"/>
      <c r="Z81" s="4"/>
      <c r="AB81" s="4"/>
      <c r="AC81" s="4"/>
      <c r="AD81"/>
      <c r="AE81"/>
      <c r="AF81"/>
    </row>
    <row r="82" spans="1:32" s="15" customFormat="1" ht="14.25" x14ac:dyDescent="0.45">
      <c r="A82" s="4"/>
      <c r="B82" s="4"/>
      <c r="C82" s="54"/>
      <c r="J82" s="16"/>
      <c r="O82" s="4"/>
      <c r="P82" s="4"/>
      <c r="Q82" s="4"/>
      <c r="R82" s="4"/>
      <c r="S82" s="4"/>
      <c r="T82" s="4"/>
      <c r="U82" s="4"/>
      <c r="V82" s="4"/>
      <c r="W82" s="29"/>
      <c r="X82" s="29"/>
      <c r="Y82" s="29"/>
      <c r="Z82" s="4"/>
      <c r="AB82" s="4"/>
      <c r="AC82" s="4"/>
      <c r="AD82"/>
      <c r="AE82"/>
      <c r="AF82"/>
    </row>
    <row r="83" spans="1:32" s="15" customFormat="1" ht="14.25" x14ac:dyDescent="0.45">
      <c r="A83" s="4"/>
      <c r="B83" s="4"/>
      <c r="C83" s="54"/>
      <c r="J83" s="16"/>
      <c r="O83" s="4"/>
      <c r="P83" s="4"/>
      <c r="Q83" s="4"/>
      <c r="R83" s="4"/>
      <c r="S83" s="4"/>
      <c r="T83" s="4"/>
      <c r="U83" s="4"/>
      <c r="V83" s="4"/>
      <c r="W83" s="29"/>
      <c r="X83" s="29"/>
      <c r="Y83" s="29"/>
      <c r="Z83" s="4"/>
      <c r="AB83" s="4"/>
      <c r="AC83" s="4"/>
      <c r="AD83"/>
      <c r="AE83"/>
      <c r="AF83"/>
    </row>
    <row r="84" spans="1:32" s="15" customFormat="1" ht="14.25" x14ac:dyDescent="0.45">
      <c r="A84" s="4"/>
      <c r="B84" s="4"/>
      <c r="C84" s="54"/>
      <c r="J84" s="16"/>
      <c r="O84" s="4"/>
      <c r="P84" s="4"/>
      <c r="Q84" s="4"/>
      <c r="R84" s="4"/>
      <c r="S84" s="4"/>
      <c r="T84" s="4"/>
      <c r="U84" s="4"/>
      <c r="V84" s="4"/>
      <c r="W84" s="29"/>
      <c r="X84" s="29"/>
      <c r="Y84" s="29"/>
      <c r="Z84" s="4"/>
      <c r="AB84" s="4"/>
      <c r="AC84" s="4"/>
      <c r="AD84"/>
      <c r="AE84"/>
      <c r="AF84"/>
    </row>
    <row r="85" spans="1:32" s="15" customFormat="1" ht="14.25" x14ac:dyDescent="0.45">
      <c r="A85" s="4"/>
      <c r="B85" s="4"/>
      <c r="C85" s="54"/>
      <c r="J85" s="16"/>
      <c r="O85" s="4"/>
      <c r="P85" s="4"/>
      <c r="Q85" s="4"/>
      <c r="R85" s="4"/>
      <c r="S85" s="4"/>
      <c r="T85" s="4"/>
      <c r="U85" s="4"/>
      <c r="V85" s="4"/>
      <c r="W85" s="29"/>
      <c r="X85" s="29"/>
      <c r="Y85" s="29"/>
      <c r="Z85" s="4"/>
      <c r="AB85" s="4"/>
      <c r="AC85" s="4"/>
      <c r="AD85"/>
      <c r="AE85"/>
      <c r="AF85"/>
    </row>
    <row r="86" spans="1:32" s="15" customFormat="1" ht="14.25" x14ac:dyDescent="0.45">
      <c r="A86" s="4"/>
      <c r="B86" s="4"/>
      <c r="C86" s="54"/>
      <c r="J86" s="16"/>
      <c r="O86" s="4"/>
      <c r="P86" s="4"/>
      <c r="Q86" s="4"/>
      <c r="R86" s="4"/>
      <c r="S86" s="4"/>
      <c r="T86" s="4"/>
      <c r="U86" s="4"/>
      <c r="V86" s="4"/>
      <c r="W86" s="29"/>
      <c r="X86" s="29"/>
      <c r="Y86" s="29"/>
      <c r="Z86" s="4"/>
      <c r="AB86" s="4"/>
      <c r="AC86" s="4"/>
      <c r="AD86"/>
      <c r="AE86"/>
      <c r="AF86"/>
    </row>
    <row r="87" spans="1:32" s="15" customFormat="1" ht="14.25" x14ac:dyDescent="0.45">
      <c r="A87" s="4"/>
      <c r="B87" s="4"/>
      <c r="C87" s="54"/>
      <c r="J87" s="16"/>
      <c r="O87" s="4"/>
      <c r="P87" s="4"/>
      <c r="Q87" s="4"/>
      <c r="R87" s="4"/>
      <c r="S87" s="4"/>
      <c r="T87" s="4"/>
      <c r="U87" s="4"/>
      <c r="V87" s="4"/>
      <c r="W87" s="29"/>
      <c r="X87" s="29"/>
      <c r="Y87" s="29"/>
      <c r="Z87" s="4"/>
      <c r="AB87" s="4"/>
      <c r="AC87" s="4"/>
      <c r="AD87"/>
      <c r="AE87"/>
      <c r="AF87"/>
    </row>
    <row r="88" spans="1:32" s="15" customFormat="1" ht="14.25" x14ac:dyDescent="0.45">
      <c r="A88" s="4"/>
      <c r="B88" s="4"/>
      <c r="C88" s="54"/>
      <c r="J88" s="16"/>
      <c r="O88" s="4"/>
      <c r="P88" s="4"/>
      <c r="Q88" s="4"/>
      <c r="R88" s="4"/>
      <c r="S88" s="4"/>
      <c r="T88" s="4"/>
      <c r="U88" s="4"/>
      <c r="V88" s="4"/>
      <c r="W88" s="29"/>
      <c r="X88" s="29"/>
      <c r="Y88" s="29"/>
      <c r="Z88" s="4"/>
      <c r="AB88" s="4"/>
      <c r="AC88" s="4"/>
      <c r="AD88"/>
      <c r="AE88"/>
      <c r="AF88"/>
    </row>
    <row r="89" spans="1:32" s="15" customFormat="1" ht="14.25" x14ac:dyDescent="0.45">
      <c r="A89" s="4"/>
      <c r="B89" s="4"/>
      <c r="C89" s="54"/>
      <c r="J89" s="16"/>
      <c r="O89" s="4"/>
      <c r="P89" s="4"/>
      <c r="Q89" s="4"/>
      <c r="R89" s="4"/>
      <c r="S89" s="4"/>
      <c r="T89" s="4"/>
      <c r="U89" s="4"/>
      <c r="V89" s="4"/>
      <c r="W89" s="29"/>
      <c r="X89" s="29"/>
      <c r="Y89" s="29"/>
      <c r="Z89" s="4"/>
      <c r="AB89" s="4"/>
      <c r="AC89" s="4"/>
      <c r="AD89"/>
      <c r="AE89"/>
      <c r="AF89"/>
    </row>
    <row r="90" spans="1:32" s="15" customFormat="1" ht="14.25" x14ac:dyDescent="0.45">
      <c r="A90" s="4"/>
      <c r="B90" s="4"/>
      <c r="C90" s="54"/>
      <c r="J90" s="16"/>
      <c r="O90" s="4"/>
      <c r="P90" s="4"/>
      <c r="Q90" s="4"/>
      <c r="R90" s="4"/>
      <c r="S90" s="4"/>
      <c r="T90" s="4"/>
      <c r="U90" s="4"/>
      <c r="V90" s="4"/>
      <c r="W90" s="29"/>
      <c r="X90" s="29"/>
      <c r="Y90" s="29"/>
      <c r="Z90" s="4"/>
      <c r="AB90" s="4"/>
      <c r="AC90" s="4"/>
      <c r="AD90"/>
      <c r="AE90"/>
      <c r="AF90"/>
    </row>
    <row r="91" spans="1:32" s="15" customFormat="1" ht="14.25" x14ac:dyDescent="0.45">
      <c r="A91" s="4"/>
      <c r="B91" s="4"/>
      <c r="C91" s="54"/>
      <c r="J91" s="16"/>
      <c r="O91" s="4"/>
      <c r="P91" s="4"/>
      <c r="Q91" s="4"/>
      <c r="R91" s="4"/>
      <c r="S91" s="4"/>
      <c r="T91" s="4"/>
      <c r="U91" s="4"/>
      <c r="V91" s="4"/>
      <c r="W91" s="29"/>
      <c r="X91" s="29"/>
      <c r="Y91" s="29"/>
      <c r="Z91" s="4"/>
      <c r="AB91" s="4"/>
      <c r="AC91" s="4"/>
      <c r="AD91"/>
      <c r="AE91"/>
      <c r="AF91"/>
    </row>
    <row r="92" spans="1:32" s="15" customFormat="1" ht="14.25" x14ac:dyDescent="0.45">
      <c r="A92" s="4"/>
      <c r="B92" s="4"/>
      <c r="C92" s="54"/>
      <c r="J92" s="16"/>
      <c r="O92" s="4"/>
      <c r="P92" s="4"/>
      <c r="Q92" s="4"/>
      <c r="R92" s="4"/>
      <c r="S92" s="4"/>
      <c r="T92" s="4"/>
      <c r="U92" s="4"/>
      <c r="V92" s="4"/>
      <c r="W92" s="29"/>
      <c r="X92" s="29"/>
      <c r="Y92" s="29"/>
      <c r="Z92" s="4"/>
      <c r="AB92" s="4"/>
      <c r="AC92" s="4"/>
      <c r="AD92"/>
      <c r="AE92"/>
      <c r="AF92"/>
    </row>
    <row r="93" spans="1:32" s="15" customFormat="1" ht="14.25" x14ac:dyDescent="0.45">
      <c r="A93" s="4"/>
      <c r="B93" s="4"/>
      <c r="C93" s="54"/>
      <c r="J93" s="16"/>
      <c r="O93" s="4"/>
      <c r="P93" s="4"/>
      <c r="Q93" s="4"/>
      <c r="R93" s="4"/>
      <c r="S93" s="4"/>
      <c r="T93" s="4"/>
      <c r="U93" s="4"/>
      <c r="V93" s="4"/>
      <c r="W93" s="29"/>
      <c r="X93" s="29"/>
      <c r="Y93" s="29"/>
      <c r="Z93" s="4"/>
      <c r="AB93" s="4"/>
      <c r="AC93" s="4"/>
      <c r="AD93"/>
      <c r="AE93"/>
      <c r="AF93"/>
    </row>
    <row r="94" spans="1:32" s="15" customFormat="1" ht="14.25" x14ac:dyDescent="0.45">
      <c r="A94" s="4"/>
      <c r="B94" s="4"/>
      <c r="C94" s="54"/>
      <c r="J94" s="16"/>
      <c r="O94" s="4"/>
      <c r="P94" s="4"/>
      <c r="Q94" s="4"/>
      <c r="R94" s="4"/>
      <c r="S94" s="4"/>
      <c r="T94" s="4"/>
      <c r="U94" s="4"/>
      <c r="V94" s="4"/>
      <c r="W94" s="29"/>
      <c r="X94" s="29"/>
      <c r="Y94" s="29"/>
      <c r="Z94" s="4"/>
      <c r="AB94" s="4"/>
      <c r="AC94" s="4"/>
      <c r="AD94"/>
      <c r="AE94"/>
      <c r="AF94"/>
    </row>
    <row r="95" spans="1:32" s="15" customFormat="1" ht="14.25" x14ac:dyDescent="0.45">
      <c r="A95" s="4"/>
      <c r="B95" s="4"/>
      <c r="C95" s="54"/>
      <c r="J95" s="16"/>
      <c r="O95" s="4"/>
      <c r="P95" s="4"/>
      <c r="Q95" s="4"/>
      <c r="R95" s="4"/>
      <c r="S95" s="4"/>
      <c r="T95" s="4"/>
      <c r="U95" s="4"/>
      <c r="V95" s="4"/>
      <c r="W95" s="29"/>
      <c r="X95" s="29"/>
      <c r="Y95" s="29"/>
      <c r="Z95" s="4"/>
      <c r="AB95" s="4"/>
      <c r="AC95" s="4"/>
      <c r="AD95"/>
      <c r="AE95"/>
      <c r="AF95"/>
    </row>
    <row r="96" spans="1:32" s="15" customFormat="1" ht="14.25" x14ac:dyDescent="0.45">
      <c r="A96" s="4"/>
      <c r="B96" s="4"/>
      <c r="C96" s="54"/>
      <c r="J96" s="16"/>
      <c r="O96" s="4"/>
      <c r="P96" s="4"/>
      <c r="Q96" s="4"/>
      <c r="R96" s="4"/>
      <c r="S96" s="4"/>
      <c r="T96" s="4"/>
      <c r="U96" s="4"/>
      <c r="V96" s="4"/>
      <c r="W96" s="29"/>
      <c r="X96" s="29"/>
      <c r="Y96" s="29"/>
      <c r="Z96" s="4"/>
      <c r="AB96" s="4"/>
      <c r="AC96" s="4"/>
      <c r="AD96"/>
      <c r="AE96"/>
      <c r="AF96"/>
    </row>
    <row r="97" spans="1:32" s="15" customFormat="1" ht="14.25" x14ac:dyDescent="0.45">
      <c r="A97" s="4"/>
      <c r="B97" s="4"/>
      <c r="C97" s="54"/>
      <c r="J97" s="16"/>
      <c r="O97" s="4"/>
      <c r="P97" s="4"/>
      <c r="Q97" s="4"/>
      <c r="R97" s="4"/>
      <c r="S97" s="4"/>
      <c r="T97" s="4"/>
      <c r="U97" s="4"/>
      <c r="V97" s="4"/>
      <c r="W97" s="29"/>
      <c r="X97" s="29"/>
      <c r="Y97" s="29"/>
      <c r="Z97" s="4"/>
      <c r="AB97" s="4"/>
      <c r="AC97" s="4"/>
      <c r="AD97"/>
      <c r="AE97"/>
      <c r="AF97"/>
    </row>
    <row r="98" spans="1:32" s="15" customFormat="1" ht="14.25" x14ac:dyDescent="0.45">
      <c r="A98" s="4"/>
      <c r="B98" s="4"/>
      <c r="C98" s="54"/>
      <c r="J98" s="16"/>
      <c r="O98" s="4"/>
      <c r="P98" s="4"/>
      <c r="Q98" s="4"/>
      <c r="R98" s="4"/>
      <c r="S98" s="4"/>
      <c r="T98" s="4"/>
      <c r="U98" s="4"/>
      <c r="V98" s="4"/>
      <c r="W98" s="29"/>
      <c r="X98" s="29"/>
      <c r="Y98" s="29"/>
      <c r="Z98" s="4"/>
      <c r="AB98" s="4"/>
      <c r="AC98" s="4"/>
      <c r="AD98"/>
      <c r="AE98"/>
      <c r="AF98"/>
    </row>
    <row r="99" spans="1:32" s="15" customFormat="1" ht="14.25" x14ac:dyDescent="0.45">
      <c r="A99" s="4"/>
      <c r="B99" s="4"/>
      <c r="C99" s="54"/>
      <c r="J99" s="16"/>
      <c r="O99" s="4"/>
      <c r="P99" s="4"/>
      <c r="Q99" s="4"/>
      <c r="R99" s="4"/>
      <c r="S99" s="4"/>
      <c r="T99" s="4"/>
      <c r="U99" s="4"/>
      <c r="V99" s="4"/>
      <c r="W99" s="29"/>
      <c r="X99" s="29"/>
      <c r="Y99" s="29"/>
      <c r="Z99" s="4"/>
      <c r="AB99" s="4"/>
      <c r="AC99" s="4"/>
      <c r="AD99"/>
      <c r="AE99"/>
      <c r="AF99"/>
    </row>
    <row r="100" spans="1:32" s="15" customFormat="1" ht="14.25" x14ac:dyDescent="0.45">
      <c r="A100" s="4"/>
      <c r="B100" s="4"/>
      <c r="C100" s="54"/>
      <c r="J100" s="16"/>
      <c r="O100" s="4"/>
      <c r="P100" s="4"/>
      <c r="Q100" s="4"/>
      <c r="R100" s="4"/>
      <c r="S100" s="4"/>
      <c r="T100" s="4"/>
      <c r="U100" s="4"/>
      <c r="V100" s="4"/>
      <c r="W100" s="29"/>
      <c r="X100" s="29"/>
      <c r="Y100" s="29"/>
      <c r="Z100" s="4"/>
      <c r="AB100" s="4"/>
      <c r="AC100" s="4"/>
      <c r="AD100"/>
      <c r="AE100"/>
      <c r="AF100"/>
    </row>
    <row r="101" spans="1:32" s="15" customFormat="1" ht="14.25" x14ac:dyDescent="0.45">
      <c r="A101" s="4"/>
      <c r="B101" s="4"/>
      <c r="C101" s="54"/>
      <c r="J101" s="16"/>
      <c r="O101" s="4"/>
      <c r="P101" s="4"/>
      <c r="Q101" s="4"/>
      <c r="R101" s="4"/>
      <c r="S101" s="4"/>
      <c r="T101" s="4"/>
      <c r="U101" s="4"/>
      <c r="V101" s="4"/>
      <c r="W101" s="29"/>
      <c r="X101" s="29"/>
      <c r="Y101" s="29"/>
      <c r="Z101" s="4"/>
      <c r="AB101" s="4"/>
      <c r="AC101" s="4"/>
      <c r="AD101"/>
      <c r="AE101"/>
      <c r="AF101"/>
    </row>
    <row r="102" spans="1:32" s="15" customFormat="1" ht="14.25" x14ac:dyDescent="0.45">
      <c r="A102" s="4"/>
      <c r="B102" s="4"/>
      <c r="C102" s="54"/>
      <c r="J102" s="16"/>
      <c r="O102" s="4"/>
      <c r="P102" s="4"/>
      <c r="Q102" s="4"/>
      <c r="R102" s="4"/>
      <c r="S102" s="4"/>
      <c r="T102" s="4"/>
      <c r="U102" s="4"/>
      <c r="V102" s="4"/>
      <c r="W102" s="29"/>
      <c r="X102" s="29"/>
      <c r="Y102" s="29"/>
      <c r="Z102" s="4"/>
      <c r="AB102" s="4"/>
      <c r="AC102" s="4"/>
      <c r="AD102"/>
      <c r="AE102"/>
      <c r="AF102"/>
    </row>
    <row r="103" spans="1:32" s="15" customFormat="1" ht="14.25" x14ac:dyDescent="0.45">
      <c r="A103" s="4"/>
      <c r="B103" s="4"/>
      <c r="C103" s="54"/>
      <c r="J103" s="16"/>
      <c r="O103" s="4"/>
      <c r="P103" s="4"/>
      <c r="Q103" s="4"/>
      <c r="R103" s="4"/>
      <c r="S103" s="4"/>
      <c r="T103" s="4"/>
      <c r="U103" s="4"/>
      <c r="V103" s="4"/>
      <c r="W103" s="29"/>
      <c r="X103" s="29"/>
      <c r="Y103" s="29"/>
      <c r="Z103" s="4"/>
      <c r="AB103" s="4"/>
      <c r="AC103" s="4"/>
      <c r="AD103"/>
      <c r="AE103"/>
      <c r="AF103"/>
    </row>
    <row r="104" spans="1:32" s="15" customFormat="1" ht="14.25" x14ac:dyDescent="0.45">
      <c r="A104" s="4"/>
      <c r="B104" s="4"/>
      <c r="C104" s="54"/>
      <c r="J104" s="16"/>
      <c r="O104" s="4"/>
      <c r="P104" s="4"/>
      <c r="Q104" s="4"/>
      <c r="R104" s="4"/>
      <c r="S104" s="4"/>
      <c r="T104" s="4"/>
      <c r="U104" s="4"/>
      <c r="V104" s="4"/>
      <c r="W104" s="29"/>
      <c r="X104" s="29"/>
      <c r="Y104" s="29"/>
      <c r="Z104" s="4"/>
      <c r="AB104" s="4"/>
      <c r="AC104" s="4"/>
      <c r="AD104"/>
      <c r="AE104"/>
      <c r="AF104"/>
    </row>
    <row r="105" spans="1:32" s="15" customFormat="1" ht="14.25" x14ac:dyDescent="0.45">
      <c r="A105" s="4"/>
      <c r="B105" s="4"/>
      <c r="C105" s="54"/>
      <c r="J105" s="16"/>
      <c r="O105" s="4"/>
      <c r="P105" s="4"/>
      <c r="Q105" s="4"/>
      <c r="R105" s="4"/>
      <c r="S105" s="4"/>
      <c r="T105" s="4"/>
      <c r="U105" s="4"/>
      <c r="V105" s="4"/>
      <c r="W105" s="29"/>
      <c r="X105" s="29"/>
      <c r="Y105" s="29"/>
      <c r="Z105" s="4"/>
      <c r="AB105" s="4"/>
      <c r="AC105" s="4"/>
      <c r="AD105"/>
      <c r="AE105"/>
      <c r="AF105"/>
    </row>
    <row r="106" spans="1:32" s="15" customFormat="1" ht="14.25" x14ac:dyDescent="0.45">
      <c r="A106" s="4"/>
      <c r="B106" s="4"/>
      <c r="C106" s="54"/>
      <c r="J106" s="16"/>
      <c r="O106" s="4"/>
      <c r="P106" s="4"/>
      <c r="Q106" s="4"/>
      <c r="R106" s="4"/>
      <c r="S106" s="4"/>
      <c r="T106" s="4"/>
      <c r="U106" s="4"/>
      <c r="V106" s="4"/>
      <c r="W106" s="29"/>
      <c r="X106" s="29"/>
      <c r="Y106" s="29"/>
      <c r="Z106" s="4"/>
      <c r="AB106" s="4"/>
      <c r="AC106" s="4"/>
      <c r="AD106"/>
      <c r="AE106"/>
      <c r="AF106"/>
    </row>
    <row r="107" spans="1:32" s="15" customFormat="1" ht="14.25" x14ac:dyDescent="0.45">
      <c r="A107" s="4"/>
      <c r="B107" s="4"/>
      <c r="C107" s="54"/>
      <c r="J107" s="16"/>
      <c r="O107" s="4"/>
      <c r="P107" s="4"/>
      <c r="Q107" s="4"/>
      <c r="R107" s="4"/>
      <c r="S107" s="4"/>
      <c r="T107" s="4"/>
      <c r="U107" s="4"/>
      <c r="V107" s="4"/>
      <c r="W107" s="29"/>
      <c r="X107" s="29"/>
      <c r="Y107" s="29"/>
      <c r="Z107" s="4"/>
      <c r="AB107" s="4"/>
      <c r="AC107" s="4"/>
      <c r="AD107"/>
      <c r="AE107"/>
      <c r="AF107"/>
    </row>
    <row r="108" spans="1:32" s="15" customFormat="1" ht="14.25" x14ac:dyDescent="0.45">
      <c r="A108" s="4"/>
      <c r="B108" s="4"/>
      <c r="C108" s="54"/>
      <c r="J108" s="16"/>
      <c r="O108" s="4"/>
      <c r="P108" s="4"/>
      <c r="Q108" s="4"/>
      <c r="R108" s="4"/>
      <c r="S108" s="4"/>
      <c r="T108" s="4"/>
      <c r="U108" s="4"/>
      <c r="V108" s="4"/>
      <c r="W108" s="29"/>
      <c r="X108" s="29"/>
      <c r="Y108" s="29"/>
      <c r="Z108" s="4"/>
      <c r="AB108" s="4"/>
      <c r="AC108" s="4"/>
      <c r="AD108"/>
      <c r="AE108"/>
      <c r="AF108"/>
    </row>
    <row r="109" spans="1:32" s="15" customFormat="1" ht="14.25" x14ac:dyDescent="0.45">
      <c r="A109" s="4"/>
      <c r="B109" s="4"/>
      <c r="C109" s="54"/>
      <c r="J109" s="16"/>
      <c r="O109" s="4"/>
      <c r="P109" s="4"/>
      <c r="Q109" s="4"/>
      <c r="R109" s="4"/>
      <c r="S109" s="4"/>
      <c r="T109" s="4"/>
      <c r="U109" s="4"/>
      <c r="V109" s="4"/>
      <c r="W109" s="29"/>
      <c r="X109" s="29"/>
      <c r="Y109" s="29"/>
      <c r="Z109" s="4"/>
      <c r="AB109" s="4"/>
      <c r="AC109" s="4"/>
      <c r="AD109"/>
      <c r="AE109"/>
      <c r="AF109"/>
    </row>
    <row r="110" spans="1:32" s="15" customFormat="1" ht="14.25" x14ac:dyDescent="0.45">
      <c r="A110" s="4"/>
      <c r="B110" s="4"/>
      <c r="C110" s="54"/>
      <c r="J110" s="16"/>
      <c r="O110" s="4"/>
      <c r="P110" s="4"/>
      <c r="Q110" s="4"/>
      <c r="R110" s="4"/>
      <c r="S110" s="4"/>
      <c r="T110" s="4"/>
      <c r="U110" s="4"/>
      <c r="V110" s="4"/>
      <c r="W110" s="29"/>
      <c r="X110" s="29"/>
      <c r="Y110" s="29"/>
      <c r="Z110" s="4"/>
      <c r="AB110" s="4"/>
      <c r="AC110" s="4"/>
      <c r="AD110"/>
      <c r="AE110"/>
      <c r="AF110"/>
    </row>
    <row r="111" spans="1:32" s="15" customFormat="1" ht="14.25" x14ac:dyDescent="0.45">
      <c r="A111" s="4"/>
      <c r="B111" s="4"/>
      <c r="C111" s="54"/>
      <c r="J111" s="16"/>
      <c r="O111" s="4"/>
      <c r="P111" s="4"/>
      <c r="Q111" s="4"/>
      <c r="R111" s="4"/>
      <c r="S111" s="4"/>
      <c r="T111" s="4"/>
      <c r="U111" s="4"/>
      <c r="V111" s="4"/>
      <c r="W111" s="29"/>
      <c r="X111" s="29"/>
      <c r="Y111" s="29"/>
      <c r="Z111" s="4"/>
      <c r="AB111" s="4"/>
      <c r="AC111" s="4"/>
      <c r="AD111"/>
      <c r="AE111"/>
      <c r="AF111"/>
    </row>
    <row r="112" spans="1:32" s="15" customFormat="1" ht="14.25" x14ac:dyDescent="0.45">
      <c r="A112" s="4"/>
      <c r="B112" s="4"/>
      <c r="C112" s="54"/>
      <c r="J112" s="16"/>
      <c r="O112" s="4"/>
      <c r="P112" s="4"/>
      <c r="Q112" s="4"/>
      <c r="R112" s="4"/>
      <c r="S112" s="4"/>
      <c r="T112" s="4"/>
      <c r="U112" s="4"/>
      <c r="V112" s="4"/>
      <c r="W112" s="29"/>
      <c r="X112" s="29"/>
      <c r="Y112" s="29"/>
      <c r="Z112" s="4"/>
      <c r="AB112" s="4"/>
      <c r="AC112" s="4"/>
      <c r="AD112"/>
      <c r="AE112"/>
      <c r="AF112"/>
    </row>
    <row r="113" spans="1:32" s="15" customFormat="1" ht="14.25" x14ac:dyDescent="0.45">
      <c r="A113" s="4"/>
      <c r="B113" s="4"/>
      <c r="C113" s="54"/>
      <c r="J113" s="16"/>
      <c r="O113" s="4"/>
      <c r="P113" s="4"/>
      <c r="Q113" s="4"/>
      <c r="R113" s="4"/>
      <c r="S113" s="4"/>
      <c r="T113" s="4"/>
      <c r="U113" s="4"/>
      <c r="V113" s="4"/>
      <c r="W113" s="29"/>
      <c r="X113" s="29"/>
      <c r="Y113" s="29"/>
      <c r="Z113" s="4"/>
      <c r="AB113" s="4"/>
      <c r="AC113" s="4"/>
      <c r="AD113"/>
      <c r="AE113"/>
      <c r="AF113"/>
    </row>
    <row r="114" spans="1:32" s="15" customFormat="1" ht="14.25" x14ac:dyDescent="0.45">
      <c r="A114" s="4"/>
      <c r="B114" s="4"/>
      <c r="C114" s="54"/>
      <c r="J114" s="16"/>
      <c r="O114" s="4"/>
      <c r="P114" s="4"/>
      <c r="Q114" s="4"/>
      <c r="R114" s="4"/>
      <c r="S114" s="4"/>
      <c r="T114" s="4"/>
      <c r="U114" s="4"/>
      <c r="V114" s="4"/>
      <c r="W114" s="29"/>
      <c r="X114" s="29"/>
      <c r="Y114" s="29"/>
      <c r="Z114" s="4"/>
      <c r="AB114" s="4"/>
      <c r="AC114" s="4"/>
      <c r="AD114"/>
      <c r="AE114"/>
      <c r="AF114"/>
    </row>
    <row r="115" spans="1:32" s="15" customFormat="1" ht="14.25" x14ac:dyDescent="0.45">
      <c r="A115" s="4"/>
      <c r="B115" s="4"/>
      <c r="C115" s="54"/>
      <c r="J115" s="16"/>
      <c r="O115" s="4"/>
      <c r="P115" s="4"/>
      <c r="Q115" s="4"/>
      <c r="R115" s="4"/>
      <c r="S115" s="4"/>
      <c r="T115" s="4"/>
      <c r="U115" s="4"/>
      <c r="V115" s="4"/>
      <c r="W115" s="29"/>
      <c r="X115" s="29"/>
      <c r="Y115" s="29"/>
      <c r="Z115" s="4"/>
      <c r="AB115" s="4"/>
      <c r="AC115" s="4"/>
      <c r="AD115"/>
      <c r="AE115"/>
      <c r="AF115"/>
    </row>
    <row r="116" spans="1:32" s="15" customFormat="1" ht="14.25" x14ac:dyDescent="0.45">
      <c r="A116" s="4"/>
      <c r="B116" s="4"/>
      <c r="C116" s="54"/>
      <c r="J116" s="16"/>
      <c r="O116" s="4"/>
      <c r="P116" s="4"/>
      <c r="Q116" s="4"/>
      <c r="R116" s="4"/>
      <c r="S116" s="4"/>
      <c r="T116" s="4"/>
      <c r="U116" s="4"/>
      <c r="V116" s="4"/>
      <c r="W116" s="29"/>
      <c r="X116" s="29"/>
      <c r="Y116" s="29"/>
      <c r="Z116" s="4"/>
      <c r="AB116" s="4"/>
      <c r="AC116" s="4"/>
      <c r="AD116"/>
      <c r="AE116"/>
      <c r="AF116"/>
    </row>
    <row r="117" spans="1:32" s="15" customFormat="1" ht="14.25" x14ac:dyDescent="0.45">
      <c r="A117" s="4"/>
      <c r="B117" s="4"/>
      <c r="C117" s="54"/>
      <c r="J117" s="16"/>
      <c r="O117" s="4"/>
      <c r="P117" s="4"/>
      <c r="Q117" s="4"/>
      <c r="R117" s="4"/>
      <c r="S117" s="4"/>
      <c r="T117" s="4"/>
      <c r="U117" s="4"/>
      <c r="V117" s="4"/>
      <c r="W117" s="29"/>
      <c r="X117" s="29"/>
      <c r="Y117" s="29"/>
      <c r="Z117" s="4"/>
      <c r="AB117" s="4"/>
      <c r="AC117" s="4"/>
      <c r="AD117"/>
      <c r="AE117"/>
      <c r="AF117"/>
    </row>
    <row r="118" spans="1:32" s="15" customFormat="1" ht="14.25" x14ac:dyDescent="0.45">
      <c r="A118" s="4"/>
      <c r="B118" s="4"/>
      <c r="C118" s="54"/>
      <c r="J118" s="16"/>
      <c r="O118" s="4"/>
      <c r="P118" s="4"/>
      <c r="Q118" s="4"/>
      <c r="R118" s="4"/>
      <c r="S118" s="4"/>
      <c r="T118" s="4"/>
      <c r="U118" s="4"/>
      <c r="V118" s="4"/>
      <c r="W118" s="29"/>
      <c r="X118" s="29"/>
      <c r="Y118" s="29"/>
      <c r="Z118" s="4"/>
      <c r="AB118" s="4"/>
      <c r="AC118" s="4"/>
      <c r="AD118"/>
      <c r="AE118"/>
      <c r="AF118"/>
    </row>
    <row r="119" spans="1:32" s="15" customFormat="1" ht="14.25" x14ac:dyDescent="0.45">
      <c r="A119" s="4"/>
      <c r="B119" s="4"/>
      <c r="C119" s="54"/>
      <c r="J119" s="16"/>
      <c r="O119" s="4"/>
      <c r="P119" s="4"/>
      <c r="Q119" s="4"/>
      <c r="R119" s="4"/>
      <c r="S119" s="4"/>
      <c r="T119" s="4"/>
      <c r="U119" s="4"/>
      <c r="V119" s="4"/>
      <c r="W119" s="29"/>
      <c r="X119" s="29"/>
      <c r="Y119" s="29"/>
      <c r="Z119" s="4"/>
      <c r="AB119" s="4"/>
      <c r="AC119" s="4"/>
      <c r="AD119"/>
      <c r="AE119"/>
      <c r="AF119"/>
    </row>
    <row r="120" spans="1:32" s="15" customFormat="1" ht="14.25" x14ac:dyDescent="0.45">
      <c r="A120" s="4"/>
      <c r="B120" s="4"/>
      <c r="C120" s="54"/>
      <c r="J120" s="16"/>
      <c r="O120" s="4"/>
      <c r="P120" s="4"/>
      <c r="Q120" s="4"/>
      <c r="R120" s="4"/>
      <c r="S120" s="4"/>
      <c r="T120" s="4"/>
      <c r="U120" s="4"/>
      <c r="V120" s="4"/>
      <c r="W120" s="29"/>
      <c r="X120" s="29"/>
      <c r="Y120" s="29"/>
      <c r="Z120" s="4"/>
      <c r="AB120" s="4"/>
      <c r="AC120" s="4"/>
      <c r="AD120"/>
      <c r="AE120"/>
      <c r="AF120"/>
    </row>
    <row r="121" spans="1:32" s="15" customFormat="1" ht="14.25" x14ac:dyDescent="0.45">
      <c r="A121" s="4"/>
      <c r="B121" s="4"/>
      <c r="C121" s="54"/>
      <c r="J121" s="16"/>
      <c r="O121" s="4"/>
      <c r="P121" s="4"/>
      <c r="Q121" s="4"/>
      <c r="R121" s="4"/>
      <c r="S121" s="4"/>
      <c r="T121" s="4"/>
      <c r="U121" s="4"/>
      <c r="V121" s="4"/>
      <c r="W121" s="29"/>
      <c r="X121" s="29"/>
      <c r="Y121" s="29"/>
      <c r="Z121" s="4"/>
      <c r="AB121" s="4"/>
      <c r="AC121" s="4"/>
      <c r="AD121"/>
      <c r="AE121"/>
      <c r="AF121"/>
    </row>
    <row r="122" spans="1:32" s="15" customFormat="1" ht="14.25" x14ac:dyDescent="0.45">
      <c r="A122" s="4"/>
      <c r="B122" s="4"/>
      <c r="C122" s="54"/>
      <c r="J122" s="16"/>
      <c r="O122" s="4"/>
      <c r="P122" s="4"/>
      <c r="Q122" s="4"/>
      <c r="R122" s="4"/>
      <c r="S122" s="4"/>
      <c r="T122" s="4"/>
      <c r="U122" s="4"/>
      <c r="V122" s="4"/>
      <c r="W122" s="29"/>
      <c r="X122" s="29"/>
      <c r="Y122" s="29"/>
      <c r="Z122" s="4"/>
      <c r="AB122" s="4"/>
      <c r="AC122" s="4"/>
      <c r="AD122"/>
      <c r="AE122"/>
      <c r="AF122"/>
    </row>
    <row r="123" spans="1:32" s="15" customFormat="1" ht="14.25" x14ac:dyDescent="0.45">
      <c r="A123" s="4"/>
      <c r="B123" s="4"/>
      <c r="C123" s="54"/>
      <c r="J123" s="16"/>
      <c r="O123" s="4"/>
      <c r="P123" s="4"/>
      <c r="Q123" s="4"/>
      <c r="R123" s="4"/>
      <c r="S123" s="4"/>
      <c r="T123" s="4"/>
      <c r="U123" s="4"/>
      <c r="V123" s="4"/>
      <c r="W123" s="29"/>
      <c r="X123" s="29"/>
      <c r="Y123" s="29"/>
      <c r="Z123" s="4"/>
      <c r="AB123" s="4"/>
      <c r="AC123" s="4"/>
      <c r="AD123"/>
      <c r="AE123"/>
      <c r="AF123"/>
    </row>
    <row r="124" spans="1:32" s="15" customFormat="1" ht="14.25" x14ac:dyDescent="0.45">
      <c r="A124" s="4"/>
      <c r="B124" s="4"/>
      <c r="C124" s="54"/>
      <c r="J124" s="16"/>
      <c r="O124" s="4"/>
      <c r="P124" s="4"/>
      <c r="Q124" s="4"/>
      <c r="R124" s="4"/>
      <c r="S124" s="4"/>
      <c r="T124" s="4"/>
      <c r="U124" s="4"/>
      <c r="V124" s="4"/>
      <c r="W124" s="29"/>
      <c r="X124" s="29"/>
      <c r="Y124" s="29"/>
      <c r="Z124" s="4"/>
      <c r="AB124" s="4"/>
      <c r="AC124" s="4"/>
      <c r="AD124"/>
      <c r="AE124"/>
      <c r="AF124"/>
    </row>
    <row r="125" spans="1:32" s="15" customFormat="1" ht="14.25" x14ac:dyDescent="0.45">
      <c r="A125" s="4"/>
      <c r="B125" s="4"/>
      <c r="C125" s="54"/>
      <c r="J125" s="16"/>
      <c r="O125" s="4"/>
      <c r="P125" s="4"/>
      <c r="Q125" s="4"/>
      <c r="R125" s="4"/>
      <c r="S125" s="4"/>
      <c r="T125" s="4"/>
      <c r="U125" s="4"/>
      <c r="V125" s="4"/>
      <c r="W125" s="29"/>
      <c r="X125" s="29"/>
      <c r="Y125" s="29"/>
      <c r="Z125" s="4"/>
      <c r="AB125" s="4"/>
      <c r="AC125" s="4"/>
      <c r="AD125"/>
      <c r="AE125"/>
      <c r="AF125"/>
    </row>
    <row r="126" spans="1:32" s="15" customFormat="1" ht="14.25" x14ac:dyDescent="0.45">
      <c r="A126" s="4"/>
      <c r="B126" s="4"/>
      <c r="C126" s="54"/>
      <c r="J126" s="16"/>
      <c r="O126" s="4"/>
      <c r="P126" s="4"/>
      <c r="Q126" s="4"/>
      <c r="R126" s="4"/>
      <c r="S126" s="4"/>
      <c r="T126" s="4"/>
      <c r="U126" s="4"/>
      <c r="V126" s="4"/>
      <c r="W126" s="29"/>
      <c r="X126" s="29"/>
      <c r="Y126" s="29"/>
      <c r="Z126" s="4"/>
      <c r="AB126" s="4"/>
      <c r="AC126" s="4"/>
      <c r="AD126"/>
      <c r="AE126"/>
      <c r="AF126"/>
    </row>
    <row r="127" spans="1:32" s="15" customFormat="1" ht="14.25" x14ac:dyDescent="0.45">
      <c r="A127" s="4"/>
      <c r="B127" s="4"/>
      <c r="C127" s="54"/>
      <c r="J127" s="16"/>
      <c r="O127" s="4"/>
      <c r="P127" s="4"/>
      <c r="Q127" s="4"/>
      <c r="R127" s="4"/>
      <c r="S127" s="4"/>
      <c r="T127" s="4"/>
      <c r="U127" s="4"/>
      <c r="V127" s="4"/>
      <c r="W127" s="29"/>
      <c r="X127" s="29"/>
      <c r="Y127" s="29"/>
      <c r="Z127" s="4"/>
      <c r="AB127" s="4"/>
      <c r="AC127" s="4"/>
      <c r="AD127"/>
      <c r="AE127"/>
      <c r="AF127"/>
    </row>
    <row r="128" spans="1:32" s="15" customFormat="1" ht="14.25" x14ac:dyDescent="0.45">
      <c r="A128" s="4"/>
      <c r="B128" s="4"/>
      <c r="C128" s="54"/>
      <c r="J128" s="16"/>
      <c r="O128" s="4"/>
      <c r="P128" s="4"/>
      <c r="Q128" s="4"/>
      <c r="R128" s="4"/>
      <c r="S128" s="4"/>
      <c r="T128" s="4"/>
      <c r="U128" s="4"/>
      <c r="V128" s="4"/>
      <c r="W128" s="29"/>
      <c r="X128" s="29"/>
      <c r="Y128" s="29"/>
      <c r="Z128" s="4"/>
      <c r="AB128" s="4"/>
      <c r="AC128" s="4"/>
      <c r="AD128"/>
      <c r="AE128"/>
      <c r="AF128"/>
    </row>
    <row r="129" spans="1:32" s="15" customFormat="1" ht="14.25" x14ac:dyDescent="0.45">
      <c r="A129" s="4"/>
      <c r="B129" s="4"/>
      <c r="C129" s="54"/>
      <c r="J129" s="16"/>
      <c r="O129" s="4"/>
      <c r="P129" s="4"/>
      <c r="Q129" s="4"/>
      <c r="R129" s="4"/>
      <c r="S129" s="4"/>
      <c r="T129" s="4"/>
      <c r="U129" s="4"/>
      <c r="V129" s="4"/>
      <c r="W129" s="29"/>
      <c r="X129" s="29"/>
      <c r="Y129" s="29"/>
      <c r="Z129" s="4"/>
      <c r="AB129" s="4"/>
      <c r="AC129" s="4"/>
      <c r="AD129"/>
      <c r="AE129"/>
      <c r="AF129"/>
    </row>
    <row r="130" spans="1:32" s="15" customFormat="1" ht="14.25" x14ac:dyDescent="0.45">
      <c r="A130" s="4"/>
      <c r="B130" s="4"/>
      <c r="C130" s="54"/>
      <c r="J130" s="16"/>
      <c r="O130" s="4"/>
      <c r="P130" s="4"/>
      <c r="Q130" s="4"/>
      <c r="R130" s="4"/>
      <c r="S130" s="4"/>
      <c r="T130" s="4"/>
      <c r="U130" s="4"/>
      <c r="V130" s="4"/>
      <c r="W130" s="29"/>
      <c r="X130" s="29"/>
      <c r="Y130" s="29"/>
      <c r="Z130" s="4"/>
      <c r="AB130" s="4"/>
      <c r="AC130" s="4"/>
      <c r="AD130"/>
      <c r="AE130"/>
      <c r="AF130"/>
    </row>
    <row r="131" spans="1:32" s="15" customFormat="1" ht="14.25" x14ac:dyDescent="0.45">
      <c r="A131" s="4"/>
      <c r="B131" s="4"/>
      <c r="C131" s="54"/>
      <c r="J131" s="16"/>
      <c r="O131" s="4"/>
      <c r="P131" s="4"/>
      <c r="Q131" s="4"/>
      <c r="R131" s="4"/>
      <c r="S131" s="4"/>
      <c r="T131" s="4"/>
      <c r="U131" s="4"/>
      <c r="V131" s="4"/>
      <c r="W131" s="29"/>
      <c r="X131" s="29"/>
      <c r="Y131" s="29"/>
      <c r="Z131" s="4"/>
      <c r="AB131" s="4"/>
      <c r="AC131" s="4"/>
      <c r="AD131"/>
      <c r="AE131"/>
      <c r="AF131"/>
    </row>
    <row r="132" spans="1:32" s="15" customFormat="1" ht="14.25" x14ac:dyDescent="0.45">
      <c r="A132" s="4"/>
      <c r="B132" s="4"/>
      <c r="C132" s="54"/>
      <c r="J132" s="16"/>
      <c r="O132" s="4"/>
      <c r="P132" s="4"/>
      <c r="Q132" s="4"/>
      <c r="R132" s="4"/>
      <c r="S132" s="4"/>
      <c r="T132" s="4"/>
      <c r="U132" s="4"/>
      <c r="V132" s="4"/>
      <c r="W132" s="29"/>
      <c r="X132" s="29"/>
      <c r="Y132" s="29"/>
      <c r="Z132" s="4"/>
      <c r="AB132" s="4"/>
      <c r="AC132" s="4"/>
      <c r="AD132"/>
      <c r="AE132"/>
      <c r="AF132"/>
    </row>
    <row r="133" spans="1:32" s="15" customFormat="1" ht="14.25" x14ac:dyDescent="0.45">
      <c r="A133" s="4"/>
      <c r="B133" s="4"/>
      <c r="C133" s="54"/>
      <c r="J133" s="16"/>
      <c r="O133" s="4"/>
      <c r="P133" s="4"/>
      <c r="Q133" s="4"/>
      <c r="R133" s="4"/>
      <c r="S133" s="4"/>
      <c r="T133" s="4"/>
      <c r="U133" s="4"/>
      <c r="V133" s="4"/>
      <c r="W133" s="29"/>
      <c r="X133" s="29"/>
      <c r="Y133" s="29"/>
      <c r="Z133" s="4"/>
      <c r="AB133" s="4"/>
      <c r="AC133" s="4"/>
      <c r="AD133"/>
      <c r="AE133"/>
      <c r="AF133"/>
    </row>
    <row r="134" spans="1:32" s="15" customFormat="1" ht="14.25" x14ac:dyDescent="0.45">
      <c r="A134" s="4"/>
      <c r="B134" s="4"/>
      <c r="C134" s="54"/>
      <c r="J134" s="16"/>
      <c r="O134" s="4"/>
      <c r="P134" s="4"/>
      <c r="Q134" s="4"/>
      <c r="R134" s="4"/>
      <c r="S134" s="4"/>
      <c r="T134" s="4"/>
      <c r="U134" s="4"/>
      <c r="V134" s="4"/>
      <c r="W134" s="29"/>
      <c r="X134" s="29"/>
      <c r="Y134" s="29"/>
      <c r="Z134" s="4"/>
      <c r="AB134" s="4"/>
      <c r="AC134" s="4"/>
      <c r="AD134"/>
      <c r="AE134"/>
      <c r="AF134"/>
    </row>
    <row r="135" spans="1:32" s="15" customFormat="1" ht="14.25" x14ac:dyDescent="0.45">
      <c r="A135" s="4"/>
      <c r="B135" s="4"/>
      <c r="C135" s="54"/>
      <c r="J135" s="16"/>
      <c r="O135" s="4"/>
      <c r="P135" s="4"/>
      <c r="Q135" s="4"/>
      <c r="R135" s="4"/>
      <c r="S135" s="4"/>
      <c r="T135" s="4"/>
      <c r="U135" s="4"/>
      <c r="V135" s="4"/>
      <c r="W135" s="29"/>
      <c r="X135" s="29"/>
      <c r="Y135" s="29"/>
      <c r="Z135" s="4"/>
      <c r="AB135" s="4"/>
      <c r="AC135" s="4"/>
      <c r="AD135"/>
      <c r="AE135"/>
      <c r="AF135"/>
    </row>
    <row r="136" spans="1:32" s="15" customFormat="1" ht="14.25" x14ac:dyDescent="0.45">
      <c r="A136" s="4"/>
      <c r="B136" s="4"/>
      <c r="C136" s="54"/>
      <c r="J136" s="16"/>
      <c r="O136" s="4"/>
      <c r="P136" s="4"/>
      <c r="Q136" s="4"/>
      <c r="R136" s="4"/>
      <c r="S136" s="4"/>
      <c r="T136" s="4"/>
      <c r="U136" s="4"/>
      <c r="V136" s="4"/>
      <c r="W136" s="29"/>
      <c r="X136" s="29"/>
      <c r="Y136" s="29"/>
      <c r="Z136" s="4"/>
      <c r="AB136" s="4"/>
      <c r="AC136" s="4"/>
      <c r="AD136"/>
      <c r="AE136"/>
      <c r="AF136"/>
    </row>
    <row r="137" spans="1:32" s="15" customFormat="1" ht="14.25" x14ac:dyDescent="0.45">
      <c r="A137" s="4"/>
      <c r="B137" s="4"/>
      <c r="C137" s="54"/>
      <c r="J137" s="16"/>
      <c r="O137" s="4"/>
      <c r="P137" s="4"/>
      <c r="Q137" s="4"/>
      <c r="R137" s="4"/>
      <c r="S137" s="4"/>
      <c r="T137" s="4"/>
      <c r="U137" s="4"/>
      <c r="V137" s="4"/>
      <c r="W137" s="29"/>
      <c r="X137" s="29"/>
      <c r="Y137" s="29"/>
      <c r="Z137" s="4"/>
      <c r="AB137" s="4"/>
      <c r="AC137" s="4"/>
      <c r="AD137"/>
      <c r="AE137"/>
      <c r="AF137"/>
    </row>
    <row r="138" spans="1:32" s="15" customFormat="1" ht="14.25" x14ac:dyDescent="0.45">
      <c r="A138" s="4"/>
      <c r="B138" s="4"/>
      <c r="C138" s="54"/>
      <c r="J138" s="16"/>
      <c r="O138" s="4"/>
      <c r="P138" s="4"/>
      <c r="Q138" s="4"/>
      <c r="R138" s="4"/>
      <c r="S138" s="4"/>
      <c r="T138" s="4"/>
      <c r="U138" s="4"/>
      <c r="V138" s="4"/>
      <c r="W138" s="29"/>
      <c r="X138" s="29"/>
      <c r="Y138" s="29"/>
      <c r="Z138" s="4"/>
      <c r="AB138" s="4"/>
      <c r="AC138" s="4"/>
      <c r="AD138"/>
      <c r="AE138"/>
      <c r="AF138"/>
    </row>
    <row r="139" spans="1:32" s="15" customFormat="1" ht="14.25" x14ac:dyDescent="0.45">
      <c r="A139" s="4"/>
      <c r="B139" s="4"/>
      <c r="C139" s="54"/>
      <c r="J139" s="16"/>
      <c r="O139" s="4"/>
      <c r="P139" s="4"/>
      <c r="Q139" s="4"/>
      <c r="R139" s="4"/>
      <c r="S139" s="4"/>
      <c r="T139" s="4"/>
      <c r="U139" s="4"/>
      <c r="V139" s="4"/>
      <c r="W139" s="29"/>
      <c r="X139" s="29"/>
      <c r="Y139" s="29"/>
      <c r="Z139" s="4"/>
      <c r="AB139" s="4"/>
      <c r="AC139" s="4"/>
      <c r="AD139"/>
      <c r="AE139"/>
      <c r="AF139"/>
    </row>
    <row r="140" spans="1:32" s="15" customFormat="1" ht="14.25" x14ac:dyDescent="0.45">
      <c r="A140" s="4"/>
      <c r="B140" s="4"/>
      <c r="C140" s="54"/>
      <c r="J140" s="16"/>
      <c r="O140" s="4"/>
      <c r="P140" s="4"/>
      <c r="Q140" s="4"/>
      <c r="R140" s="4"/>
      <c r="S140" s="4"/>
      <c r="T140" s="4"/>
      <c r="U140" s="4"/>
      <c r="V140" s="4"/>
      <c r="W140" s="29"/>
      <c r="X140" s="29"/>
      <c r="Y140" s="29"/>
      <c r="Z140" s="4"/>
      <c r="AB140" s="4"/>
      <c r="AC140" s="4"/>
      <c r="AD140"/>
      <c r="AE140"/>
      <c r="AF140"/>
    </row>
    <row r="141" spans="1:32" s="15" customFormat="1" ht="14.25" x14ac:dyDescent="0.45">
      <c r="A141" s="4"/>
      <c r="B141" s="4"/>
      <c r="C141" s="54"/>
      <c r="J141" s="16"/>
      <c r="O141" s="4"/>
      <c r="P141" s="4"/>
      <c r="Q141" s="4"/>
      <c r="R141" s="4"/>
      <c r="S141" s="4"/>
      <c r="T141" s="4"/>
      <c r="U141" s="4"/>
      <c r="V141" s="4"/>
      <c r="W141" s="29"/>
      <c r="X141" s="29"/>
      <c r="Y141" s="29"/>
      <c r="Z141" s="4"/>
      <c r="AB141" s="4"/>
      <c r="AC141" s="4"/>
      <c r="AD141"/>
      <c r="AE141"/>
      <c r="AF141"/>
    </row>
    <row r="142" spans="1:32" s="15" customFormat="1" ht="14.25" x14ac:dyDescent="0.45">
      <c r="A142" s="4"/>
      <c r="B142" s="4"/>
      <c r="C142" s="54"/>
      <c r="J142" s="16"/>
      <c r="O142" s="4"/>
      <c r="P142" s="4"/>
      <c r="Q142" s="4"/>
      <c r="R142" s="4"/>
      <c r="S142" s="4"/>
      <c r="T142" s="4"/>
      <c r="U142" s="4"/>
      <c r="V142" s="4"/>
      <c r="W142" s="29"/>
      <c r="X142" s="29"/>
      <c r="Y142" s="29"/>
      <c r="Z142" s="4"/>
      <c r="AB142" s="4"/>
      <c r="AC142" s="4"/>
      <c r="AD142"/>
      <c r="AE142"/>
      <c r="AF142"/>
    </row>
    <row r="143" spans="1:32" s="15" customFormat="1" ht="14.25" x14ac:dyDescent="0.45">
      <c r="A143" s="4"/>
      <c r="B143" s="4"/>
      <c r="C143" s="54"/>
      <c r="J143" s="16"/>
      <c r="O143" s="4"/>
      <c r="P143" s="4"/>
      <c r="Q143" s="4"/>
      <c r="R143" s="4"/>
      <c r="S143" s="4"/>
      <c r="T143" s="4"/>
      <c r="U143" s="4"/>
      <c r="V143" s="4"/>
      <c r="W143" s="29"/>
      <c r="X143" s="29"/>
      <c r="Y143" s="29"/>
      <c r="Z143" s="4"/>
      <c r="AB143" s="4"/>
      <c r="AC143" s="4"/>
      <c r="AD143"/>
      <c r="AE143"/>
      <c r="AF143"/>
    </row>
    <row r="144" spans="1:32" s="15" customFormat="1" ht="14.25" x14ac:dyDescent="0.45">
      <c r="A144" s="4"/>
      <c r="B144" s="4"/>
      <c r="C144" s="54"/>
      <c r="J144" s="16"/>
      <c r="O144" s="4"/>
      <c r="P144" s="4"/>
      <c r="Q144" s="4"/>
      <c r="R144" s="4"/>
      <c r="S144" s="4"/>
      <c r="T144" s="4"/>
      <c r="U144" s="4"/>
      <c r="V144" s="4"/>
      <c r="W144" s="29"/>
      <c r="X144" s="29"/>
      <c r="Y144" s="29"/>
      <c r="Z144" s="4"/>
      <c r="AB144" s="4"/>
      <c r="AC144" s="4"/>
      <c r="AD144"/>
      <c r="AE144"/>
      <c r="AF144"/>
    </row>
    <row r="145" spans="1:32" s="15" customFormat="1" ht="14.25" x14ac:dyDescent="0.45">
      <c r="A145" s="4"/>
      <c r="B145" s="4"/>
      <c r="C145" s="54"/>
      <c r="J145" s="16"/>
      <c r="O145" s="4"/>
      <c r="P145" s="4"/>
      <c r="Q145" s="4"/>
      <c r="R145" s="4"/>
      <c r="S145" s="4"/>
      <c r="T145" s="4"/>
      <c r="U145" s="4"/>
      <c r="V145" s="4"/>
      <c r="W145" s="29"/>
      <c r="X145" s="29"/>
      <c r="Y145" s="29"/>
      <c r="Z145" s="4"/>
      <c r="AB145" s="4"/>
      <c r="AC145" s="4"/>
      <c r="AD145"/>
      <c r="AE145"/>
      <c r="AF145"/>
    </row>
    <row r="146" spans="1:32" s="15" customFormat="1" ht="14.25" x14ac:dyDescent="0.45">
      <c r="A146" s="4"/>
      <c r="B146" s="4"/>
      <c r="C146" s="54"/>
      <c r="J146" s="16"/>
      <c r="O146" s="4"/>
      <c r="P146" s="4"/>
      <c r="Q146" s="4"/>
      <c r="R146" s="4"/>
      <c r="S146" s="4"/>
      <c r="T146" s="4"/>
      <c r="U146" s="4"/>
      <c r="V146" s="4"/>
      <c r="W146" s="29"/>
      <c r="X146" s="29"/>
      <c r="Y146" s="29"/>
      <c r="Z146" s="4"/>
      <c r="AB146" s="4"/>
      <c r="AC146" s="4"/>
      <c r="AD146"/>
      <c r="AE146"/>
      <c r="AF146"/>
    </row>
    <row r="147" spans="1:32" s="15" customFormat="1" ht="14.25" x14ac:dyDescent="0.45">
      <c r="A147" s="4"/>
      <c r="B147" s="4"/>
      <c r="C147" s="54"/>
      <c r="J147" s="16"/>
      <c r="O147" s="4"/>
      <c r="P147" s="4"/>
      <c r="Q147" s="4"/>
      <c r="R147" s="4"/>
      <c r="S147" s="4"/>
      <c r="T147" s="4"/>
      <c r="U147" s="4"/>
      <c r="V147" s="4"/>
      <c r="W147" s="29"/>
      <c r="X147" s="29"/>
      <c r="Y147" s="29"/>
      <c r="Z147" s="4"/>
      <c r="AB147" s="4"/>
      <c r="AC147" s="4"/>
      <c r="AD147"/>
      <c r="AE147"/>
      <c r="AF147"/>
    </row>
    <row r="148" spans="1:32" s="15" customFormat="1" ht="14.25" x14ac:dyDescent="0.45">
      <c r="A148" s="4"/>
      <c r="B148" s="4"/>
      <c r="C148" s="54"/>
      <c r="J148" s="16"/>
      <c r="O148" s="4"/>
      <c r="P148" s="4"/>
      <c r="Q148" s="4"/>
      <c r="R148" s="4"/>
      <c r="S148" s="4"/>
      <c r="T148" s="4"/>
      <c r="U148" s="4"/>
      <c r="V148" s="4"/>
      <c r="W148" s="29"/>
      <c r="X148" s="29"/>
      <c r="Y148" s="29"/>
      <c r="Z148" s="4"/>
      <c r="AB148" s="4"/>
      <c r="AC148" s="4"/>
      <c r="AD148"/>
      <c r="AE148"/>
      <c r="AF148"/>
    </row>
    <row r="149" spans="1:32" s="15" customFormat="1" ht="14.25" x14ac:dyDescent="0.45">
      <c r="A149" s="4"/>
      <c r="B149" s="4"/>
      <c r="C149" s="54"/>
      <c r="J149" s="16"/>
      <c r="O149" s="4"/>
      <c r="P149" s="4"/>
      <c r="Q149" s="4"/>
      <c r="R149" s="4"/>
      <c r="S149" s="4"/>
      <c r="T149" s="4"/>
      <c r="U149" s="4"/>
      <c r="V149" s="4"/>
      <c r="W149" s="29"/>
      <c r="X149" s="29"/>
      <c r="Y149" s="29"/>
      <c r="Z149" s="4"/>
      <c r="AB149" s="4"/>
      <c r="AC149" s="4"/>
      <c r="AD149"/>
      <c r="AE149"/>
      <c r="AF149"/>
    </row>
    <row r="150" spans="1:32" s="15" customFormat="1" ht="14.25" x14ac:dyDescent="0.45">
      <c r="A150" s="4"/>
      <c r="B150" s="4"/>
      <c r="C150" s="54"/>
      <c r="J150" s="16"/>
      <c r="O150" s="4"/>
      <c r="P150" s="4"/>
      <c r="Q150" s="4"/>
      <c r="R150" s="4"/>
      <c r="S150" s="4"/>
      <c r="T150" s="4"/>
      <c r="U150" s="4"/>
      <c r="V150" s="4"/>
      <c r="W150" s="29"/>
      <c r="X150" s="29"/>
      <c r="Y150" s="29"/>
      <c r="Z150" s="4"/>
      <c r="AB150" s="4"/>
      <c r="AC150" s="4"/>
      <c r="AD150"/>
      <c r="AE150"/>
      <c r="AF150"/>
    </row>
    <row r="151" spans="1:32" s="15" customFormat="1" ht="14.25" x14ac:dyDescent="0.45">
      <c r="A151" s="4"/>
      <c r="B151" s="4"/>
      <c r="C151" s="54"/>
      <c r="J151" s="16"/>
      <c r="O151" s="4"/>
      <c r="P151" s="4"/>
      <c r="Q151" s="4"/>
      <c r="R151" s="4"/>
      <c r="S151" s="4"/>
      <c r="T151" s="4"/>
      <c r="U151" s="4"/>
      <c r="V151" s="4"/>
      <c r="W151" s="29"/>
      <c r="X151" s="29"/>
      <c r="Y151" s="29"/>
      <c r="Z151" s="4"/>
      <c r="AB151" s="4"/>
      <c r="AC151" s="4"/>
      <c r="AD151"/>
      <c r="AE151"/>
      <c r="AF151"/>
    </row>
    <row r="152" spans="1:32" s="15" customFormat="1" ht="14.25" x14ac:dyDescent="0.45">
      <c r="A152" s="4"/>
      <c r="B152" s="4"/>
      <c r="C152" s="54"/>
      <c r="J152" s="16"/>
      <c r="O152" s="4"/>
      <c r="P152" s="4"/>
      <c r="Q152" s="4"/>
      <c r="R152" s="4"/>
      <c r="S152" s="4"/>
      <c r="T152" s="4"/>
      <c r="U152" s="4"/>
      <c r="V152" s="4"/>
      <c r="W152" s="29"/>
      <c r="X152" s="29"/>
      <c r="Y152" s="29"/>
      <c r="Z152" s="4"/>
      <c r="AB152" s="4"/>
      <c r="AC152" s="4"/>
      <c r="AD152"/>
      <c r="AE152"/>
      <c r="AF152"/>
    </row>
    <row r="153" spans="1:32" s="15" customFormat="1" ht="14.25" x14ac:dyDescent="0.45">
      <c r="A153" s="4"/>
      <c r="B153" s="4"/>
      <c r="C153" s="54"/>
      <c r="J153" s="16"/>
      <c r="O153" s="4"/>
      <c r="P153" s="4"/>
      <c r="Q153" s="4"/>
      <c r="R153" s="4"/>
      <c r="S153" s="4"/>
      <c r="T153" s="4"/>
      <c r="U153" s="4"/>
      <c r="V153" s="4"/>
      <c r="W153" s="29"/>
      <c r="X153" s="29"/>
      <c r="Y153" s="29"/>
      <c r="Z153" s="4"/>
      <c r="AB153" s="4"/>
      <c r="AC153" s="4"/>
      <c r="AD153"/>
      <c r="AE153"/>
      <c r="AF153"/>
    </row>
    <row r="154" spans="1:32" s="15" customFormat="1" ht="14.25" x14ac:dyDescent="0.45">
      <c r="A154" s="4"/>
      <c r="B154" s="4"/>
      <c r="C154" s="54"/>
      <c r="J154" s="16"/>
      <c r="O154" s="4"/>
      <c r="P154" s="4"/>
      <c r="Q154" s="4"/>
      <c r="R154" s="4"/>
      <c r="S154" s="4"/>
      <c r="T154" s="4"/>
      <c r="U154" s="4"/>
      <c r="V154" s="4"/>
      <c r="W154" s="29"/>
      <c r="X154" s="29"/>
      <c r="Y154" s="29"/>
      <c r="Z154" s="4"/>
      <c r="AB154" s="4"/>
      <c r="AC154" s="4"/>
      <c r="AD154"/>
      <c r="AE154"/>
      <c r="AF154"/>
    </row>
    <row r="155" spans="1:32" s="15" customFormat="1" ht="14.25" x14ac:dyDescent="0.45">
      <c r="A155" s="4"/>
      <c r="B155" s="4"/>
      <c r="C155" s="54"/>
      <c r="J155" s="16"/>
      <c r="O155" s="4"/>
      <c r="P155" s="4"/>
      <c r="Q155" s="4"/>
      <c r="R155" s="4"/>
      <c r="S155" s="4"/>
      <c r="T155" s="4"/>
      <c r="U155" s="4"/>
      <c r="V155" s="4"/>
      <c r="W155" s="29"/>
      <c r="X155" s="29"/>
      <c r="Y155" s="29"/>
      <c r="Z155" s="4"/>
      <c r="AB155" s="4"/>
      <c r="AC155" s="4"/>
      <c r="AD155"/>
      <c r="AE155"/>
      <c r="AF155"/>
    </row>
    <row r="156" spans="1:32" s="15" customFormat="1" ht="14.25" x14ac:dyDescent="0.45">
      <c r="A156" s="4"/>
      <c r="B156" s="4"/>
      <c r="C156" s="54"/>
      <c r="J156" s="16"/>
      <c r="O156" s="4"/>
      <c r="P156" s="4"/>
      <c r="Q156" s="4"/>
      <c r="R156" s="4"/>
      <c r="S156" s="4"/>
      <c r="T156" s="4"/>
      <c r="U156" s="4"/>
      <c r="V156" s="4"/>
      <c r="W156" s="29"/>
      <c r="X156" s="29"/>
      <c r="Y156" s="29"/>
      <c r="Z156" s="4"/>
      <c r="AB156" s="4"/>
      <c r="AC156" s="4"/>
      <c r="AD156"/>
      <c r="AE156"/>
      <c r="AF156"/>
    </row>
    <row r="157" spans="1:32" s="15" customFormat="1" ht="14.25" x14ac:dyDescent="0.45">
      <c r="A157" s="4"/>
      <c r="B157" s="4"/>
      <c r="C157" s="54"/>
      <c r="J157" s="16"/>
      <c r="O157" s="4"/>
      <c r="P157" s="4"/>
      <c r="Q157" s="4"/>
      <c r="R157" s="4"/>
      <c r="S157" s="4"/>
      <c r="T157" s="4"/>
      <c r="U157" s="4"/>
      <c r="V157" s="4"/>
      <c r="W157" s="29"/>
      <c r="X157" s="29"/>
      <c r="Y157" s="29"/>
      <c r="Z157" s="4"/>
      <c r="AB157" s="4"/>
      <c r="AC157" s="4"/>
      <c r="AD157"/>
      <c r="AE157"/>
      <c r="AF157"/>
    </row>
    <row r="158" spans="1:32" s="15" customFormat="1" ht="14.25" x14ac:dyDescent="0.45">
      <c r="A158" s="4"/>
      <c r="B158" s="4"/>
      <c r="C158" s="54"/>
      <c r="J158" s="16"/>
      <c r="O158" s="4"/>
      <c r="P158" s="4"/>
      <c r="Q158" s="4"/>
      <c r="R158" s="4"/>
      <c r="S158" s="4"/>
      <c r="T158" s="4"/>
      <c r="U158" s="4"/>
      <c r="V158" s="4"/>
      <c r="W158" s="29"/>
      <c r="X158" s="29"/>
      <c r="Y158" s="29"/>
      <c r="Z158" s="4"/>
      <c r="AB158" s="4"/>
      <c r="AC158" s="4"/>
      <c r="AD158"/>
      <c r="AE158"/>
      <c r="AF158"/>
    </row>
    <row r="159" spans="1:32" s="15" customFormat="1" ht="14.25" x14ac:dyDescent="0.45">
      <c r="A159" s="4"/>
      <c r="B159" s="4"/>
      <c r="C159" s="54"/>
      <c r="J159" s="16"/>
      <c r="O159" s="4"/>
      <c r="P159" s="4"/>
      <c r="Q159" s="4"/>
      <c r="R159" s="4"/>
      <c r="S159" s="4"/>
      <c r="T159" s="4"/>
      <c r="U159" s="4"/>
      <c r="V159" s="4"/>
      <c r="W159" s="29"/>
      <c r="X159" s="29"/>
      <c r="Y159" s="29"/>
      <c r="Z159" s="4"/>
      <c r="AB159" s="4"/>
      <c r="AC159" s="4"/>
      <c r="AD159"/>
      <c r="AE159"/>
      <c r="AF159"/>
    </row>
    <row r="160" spans="1:32" s="15" customFormat="1" ht="14.25" x14ac:dyDescent="0.45">
      <c r="A160" s="4"/>
      <c r="B160" s="4"/>
      <c r="C160" s="54"/>
      <c r="J160" s="16"/>
      <c r="O160" s="4"/>
      <c r="P160" s="4"/>
      <c r="Q160" s="4"/>
      <c r="R160" s="4"/>
      <c r="S160" s="4"/>
      <c r="T160" s="4"/>
      <c r="U160" s="4"/>
      <c r="V160" s="4"/>
      <c r="W160" s="29"/>
      <c r="X160" s="29"/>
      <c r="Y160" s="29"/>
      <c r="Z160" s="4"/>
      <c r="AB160" s="4"/>
      <c r="AC160" s="4"/>
      <c r="AD160"/>
      <c r="AE160"/>
      <c r="AF160"/>
    </row>
    <row r="161" spans="1:32" s="15" customFormat="1" ht="14.25" x14ac:dyDescent="0.45">
      <c r="A161" s="4"/>
      <c r="B161" s="4"/>
      <c r="C161" s="54"/>
      <c r="J161" s="16"/>
      <c r="O161" s="4"/>
      <c r="P161" s="4"/>
      <c r="Q161" s="4"/>
      <c r="R161" s="4"/>
      <c r="S161" s="4"/>
      <c r="T161" s="4"/>
      <c r="U161" s="4"/>
      <c r="V161" s="4"/>
      <c r="W161" s="29"/>
      <c r="X161" s="29"/>
      <c r="Y161" s="29"/>
      <c r="Z161" s="4"/>
      <c r="AB161" s="4"/>
      <c r="AC161" s="4"/>
      <c r="AD161"/>
      <c r="AE161"/>
      <c r="AF161"/>
    </row>
    <row r="162" spans="1:32" s="15" customFormat="1" ht="14.25" x14ac:dyDescent="0.45">
      <c r="A162" s="4"/>
      <c r="B162" s="4"/>
      <c r="C162" s="54"/>
      <c r="J162" s="16"/>
      <c r="O162" s="4"/>
      <c r="P162" s="4"/>
      <c r="Q162" s="4"/>
      <c r="R162" s="4"/>
      <c r="S162" s="4"/>
      <c r="T162" s="4"/>
      <c r="U162" s="4"/>
      <c r="V162" s="4"/>
      <c r="W162" s="29"/>
      <c r="X162" s="29"/>
      <c r="Y162" s="29"/>
      <c r="Z162" s="4"/>
      <c r="AB162" s="4"/>
      <c r="AC162" s="4"/>
      <c r="AD162"/>
      <c r="AE162"/>
      <c r="AF162"/>
    </row>
    <row r="163" spans="1:32" s="15" customFormat="1" ht="14.25" x14ac:dyDescent="0.45">
      <c r="A163" s="4"/>
      <c r="B163" s="4"/>
      <c r="C163" s="54"/>
      <c r="J163" s="16"/>
      <c r="O163" s="4"/>
      <c r="P163" s="4"/>
      <c r="Q163" s="4"/>
      <c r="R163" s="4"/>
      <c r="S163" s="4"/>
      <c r="T163" s="4"/>
      <c r="U163" s="4"/>
      <c r="V163" s="4"/>
      <c r="W163" s="29"/>
      <c r="X163" s="29"/>
      <c r="Y163" s="29"/>
      <c r="Z163" s="4"/>
      <c r="AB163" s="4"/>
      <c r="AC163" s="4"/>
      <c r="AD163"/>
      <c r="AE163"/>
      <c r="AF163"/>
    </row>
    <row r="164" spans="1:32" s="15" customFormat="1" ht="14.25" x14ac:dyDescent="0.45">
      <c r="A164" s="4"/>
      <c r="B164" s="4"/>
      <c r="C164" s="54"/>
      <c r="J164" s="16"/>
      <c r="O164" s="4"/>
      <c r="P164" s="4"/>
      <c r="Q164" s="4"/>
      <c r="R164" s="4"/>
      <c r="S164" s="4"/>
      <c r="T164" s="4"/>
      <c r="U164" s="4"/>
      <c r="V164" s="4"/>
      <c r="W164" s="29"/>
      <c r="X164" s="29"/>
      <c r="Y164" s="29"/>
      <c r="Z164" s="4"/>
      <c r="AB164" s="4"/>
      <c r="AC164" s="4"/>
      <c r="AD164"/>
      <c r="AE164"/>
      <c r="AF164"/>
    </row>
    <row r="165" spans="1:32" s="15" customFormat="1" ht="14.25" x14ac:dyDescent="0.45">
      <c r="A165" s="4"/>
      <c r="B165" s="4"/>
      <c r="C165" s="54"/>
      <c r="J165" s="16"/>
      <c r="O165" s="4"/>
      <c r="P165" s="4"/>
      <c r="Q165" s="4"/>
      <c r="R165" s="4"/>
      <c r="S165" s="4"/>
      <c r="T165" s="4"/>
      <c r="U165" s="4"/>
      <c r="V165" s="4"/>
      <c r="W165" s="29"/>
      <c r="X165" s="29"/>
      <c r="Y165" s="29"/>
      <c r="Z165" s="4"/>
      <c r="AB165" s="4"/>
      <c r="AC165" s="4"/>
      <c r="AD165"/>
      <c r="AE165"/>
      <c r="AF165"/>
    </row>
    <row r="166" spans="1:32" s="15" customFormat="1" ht="14.25" x14ac:dyDescent="0.45">
      <c r="A166" s="4"/>
      <c r="B166" s="4"/>
      <c r="C166" s="54"/>
      <c r="J166" s="16"/>
      <c r="O166" s="4"/>
      <c r="P166" s="4"/>
      <c r="Q166" s="4"/>
      <c r="R166" s="4"/>
      <c r="S166" s="4"/>
      <c r="T166" s="4"/>
      <c r="U166" s="4"/>
      <c r="V166" s="4"/>
      <c r="W166" s="29"/>
      <c r="X166" s="29"/>
      <c r="Y166" s="29"/>
      <c r="Z166" s="4"/>
      <c r="AB166" s="4"/>
      <c r="AC166" s="4"/>
      <c r="AD166"/>
      <c r="AE166"/>
      <c r="AF166"/>
    </row>
    <row r="167" spans="1:32" s="15" customFormat="1" ht="14.25" x14ac:dyDescent="0.45">
      <c r="A167" s="4"/>
      <c r="B167" s="4"/>
      <c r="C167" s="54"/>
      <c r="J167" s="16"/>
      <c r="O167" s="4"/>
      <c r="P167" s="4"/>
      <c r="Q167" s="4"/>
      <c r="R167" s="4"/>
      <c r="S167" s="4"/>
      <c r="T167" s="4"/>
      <c r="U167" s="4"/>
      <c r="V167" s="4"/>
      <c r="W167" s="29"/>
      <c r="X167" s="29"/>
      <c r="Y167" s="29"/>
      <c r="Z167" s="4"/>
      <c r="AB167" s="4"/>
      <c r="AC167" s="4"/>
      <c r="AD167"/>
      <c r="AE167"/>
      <c r="AF167"/>
    </row>
    <row r="168" spans="1:32" s="15" customFormat="1" ht="14.25" x14ac:dyDescent="0.45">
      <c r="A168" s="4"/>
      <c r="B168" s="4"/>
      <c r="C168" s="54"/>
      <c r="J168" s="16"/>
      <c r="O168" s="4"/>
      <c r="P168" s="4"/>
      <c r="Q168" s="4"/>
      <c r="R168" s="4"/>
      <c r="S168" s="4"/>
      <c r="T168" s="4"/>
      <c r="U168" s="4"/>
      <c r="V168" s="4"/>
      <c r="W168" s="29"/>
      <c r="X168" s="29"/>
      <c r="Y168" s="29"/>
      <c r="Z168" s="4"/>
      <c r="AB168" s="4"/>
      <c r="AC168" s="4"/>
      <c r="AD168"/>
      <c r="AE168"/>
      <c r="AF168"/>
    </row>
    <row r="169" spans="1:32" s="15" customFormat="1" ht="14.25" x14ac:dyDescent="0.45">
      <c r="A169" s="4"/>
      <c r="B169" s="4"/>
      <c r="C169" s="54"/>
      <c r="J169" s="16"/>
      <c r="O169" s="4"/>
      <c r="P169" s="4"/>
      <c r="Q169" s="4"/>
      <c r="R169" s="4"/>
      <c r="S169" s="4"/>
      <c r="T169" s="4"/>
      <c r="U169" s="4"/>
      <c r="V169" s="4"/>
      <c r="W169" s="29"/>
      <c r="X169" s="29"/>
      <c r="Y169" s="29"/>
      <c r="Z169" s="4"/>
      <c r="AB169" s="4"/>
      <c r="AC169" s="4"/>
      <c r="AD169"/>
      <c r="AE169"/>
      <c r="AF169"/>
    </row>
    <row r="170" spans="1:32" s="15" customFormat="1" ht="14.25" x14ac:dyDescent="0.45">
      <c r="A170" s="4"/>
      <c r="B170" s="4"/>
      <c r="C170" s="54"/>
      <c r="J170" s="16"/>
      <c r="O170" s="4"/>
      <c r="P170" s="4"/>
      <c r="Q170" s="4"/>
      <c r="R170" s="4"/>
      <c r="S170" s="4"/>
      <c r="T170" s="4"/>
      <c r="U170" s="4"/>
      <c r="V170" s="4"/>
      <c r="W170" s="29"/>
      <c r="X170" s="29"/>
      <c r="Y170" s="29"/>
      <c r="Z170" s="4"/>
      <c r="AB170" s="4"/>
      <c r="AC170" s="4"/>
      <c r="AD170"/>
      <c r="AE170"/>
      <c r="AF170"/>
    </row>
    <row r="171" spans="1:32" s="15" customFormat="1" ht="14.25" x14ac:dyDescent="0.45">
      <c r="A171" s="4"/>
      <c r="B171" s="4"/>
      <c r="C171" s="54"/>
      <c r="J171" s="16"/>
      <c r="O171" s="4"/>
      <c r="P171" s="4"/>
      <c r="Q171" s="4"/>
      <c r="R171" s="4"/>
      <c r="S171" s="4"/>
      <c r="T171" s="4"/>
      <c r="U171" s="4"/>
      <c r="V171" s="4"/>
      <c r="W171" s="29"/>
      <c r="X171" s="29"/>
      <c r="Y171" s="29"/>
      <c r="Z171" s="4"/>
      <c r="AB171" s="4"/>
      <c r="AC171" s="4"/>
      <c r="AD171"/>
      <c r="AE171"/>
      <c r="AF171"/>
    </row>
    <row r="172" spans="1:32" s="15" customFormat="1" ht="14.25" x14ac:dyDescent="0.45">
      <c r="A172" s="4"/>
      <c r="B172" s="4"/>
      <c r="C172" s="54"/>
      <c r="J172" s="16"/>
      <c r="O172" s="4"/>
      <c r="P172" s="4"/>
      <c r="Q172" s="4"/>
      <c r="R172" s="4"/>
      <c r="S172" s="4"/>
      <c r="T172" s="4"/>
      <c r="U172" s="4"/>
      <c r="V172" s="4"/>
      <c r="W172" s="29"/>
      <c r="X172" s="29"/>
      <c r="Y172" s="29"/>
      <c r="Z172" s="4"/>
      <c r="AB172" s="4"/>
      <c r="AC172" s="4"/>
      <c r="AD172"/>
      <c r="AE172"/>
      <c r="AF172"/>
    </row>
    <row r="173" spans="1:32" s="15" customFormat="1" ht="14.25" x14ac:dyDescent="0.45">
      <c r="A173" s="4"/>
      <c r="B173" s="4"/>
      <c r="C173" s="54"/>
      <c r="J173" s="16"/>
      <c r="O173" s="4"/>
      <c r="P173" s="4"/>
      <c r="Q173" s="4"/>
      <c r="R173" s="4"/>
      <c r="S173" s="4"/>
      <c r="T173" s="4"/>
      <c r="U173" s="4"/>
      <c r="V173" s="4"/>
      <c r="W173" s="29"/>
      <c r="X173" s="29"/>
      <c r="Y173" s="29"/>
      <c r="Z173" s="4"/>
      <c r="AB173" s="4"/>
      <c r="AC173" s="4"/>
      <c r="AD173"/>
      <c r="AE173"/>
      <c r="AF173"/>
    </row>
    <row r="174" spans="1:32" s="15" customFormat="1" ht="14.25" x14ac:dyDescent="0.45">
      <c r="A174" s="4"/>
      <c r="B174" s="4"/>
      <c r="C174" s="54"/>
      <c r="J174" s="16"/>
      <c r="O174" s="4"/>
      <c r="P174" s="4"/>
      <c r="Q174" s="4"/>
      <c r="R174" s="4"/>
      <c r="S174" s="4"/>
      <c r="T174" s="4"/>
      <c r="U174" s="4"/>
      <c r="V174" s="4"/>
      <c r="W174" s="29"/>
      <c r="X174" s="29"/>
      <c r="Y174" s="29"/>
      <c r="Z174" s="4"/>
      <c r="AB174" s="4"/>
      <c r="AC174" s="4"/>
      <c r="AD174"/>
      <c r="AE174"/>
      <c r="AF174"/>
    </row>
    <row r="175" spans="1:32" s="15" customFormat="1" ht="14.25" x14ac:dyDescent="0.45">
      <c r="A175" s="4"/>
      <c r="B175" s="4"/>
      <c r="C175" s="54"/>
      <c r="J175" s="16"/>
      <c r="O175" s="4"/>
      <c r="P175" s="4"/>
      <c r="Q175" s="4"/>
      <c r="R175" s="4"/>
      <c r="S175" s="4"/>
      <c r="T175" s="4"/>
      <c r="U175" s="4"/>
      <c r="V175" s="4"/>
      <c r="W175" s="29"/>
      <c r="X175" s="29"/>
      <c r="Y175" s="29"/>
      <c r="Z175" s="4"/>
      <c r="AB175" s="4"/>
      <c r="AC175" s="4"/>
      <c r="AD175"/>
      <c r="AE175"/>
      <c r="AF175"/>
    </row>
    <row r="176" spans="1:32" s="15" customFormat="1" ht="14.25" x14ac:dyDescent="0.45">
      <c r="A176" s="4"/>
      <c r="B176" s="4"/>
      <c r="C176" s="54"/>
      <c r="J176" s="16"/>
      <c r="O176" s="4"/>
      <c r="P176" s="4"/>
      <c r="Q176" s="4"/>
      <c r="R176" s="4"/>
      <c r="S176" s="4"/>
      <c r="T176" s="4"/>
      <c r="U176" s="4"/>
      <c r="V176" s="4"/>
      <c r="W176" s="29"/>
      <c r="X176" s="29"/>
      <c r="Y176" s="29"/>
      <c r="Z176" s="4"/>
      <c r="AB176" s="4"/>
      <c r="AC176" s="4"/>
      <c r="AD176"/>
      <c r="AE176"/>
      <c r="AF176"/>
    </row>
    <row r="177" spans="1:32" s="15" customFormat="1" ht="14.25" x14ac:dyDescent="0.45">
      <c r="A177" s="4"/>
      <c r="B177" s="4"/>
      <c r="C177" s="54"/>
      <c r="J177" s="16"/>
      <c r="O177" s="4"/>
      <c r="P177" s="4"/>
      <c r="Q177" s="4"/>
      <c r="R177" s="4"/>
      <c r="S177" s="4"/>
      <c r="T177" s="4"/>
      <c r="U177" s="4"/>
      <c r="V177" s="4"/>
      <c r="W177" s="29"/>
      <c r="X177" s="29"/>
      <c r="Y177" s="29"/>
      <c r="Z177" s="4"/>
      <c r="AB177" s="4"/>
      <c r="AC177" s="4"/>
      <c r="AD177"/>
      <c r="AE177"/>
      <c r="AF177"/>
    </row>
    <row r="178" spans="1:32" s="15" customFormat="1" ht="14.25" x14ac:dyDescent="0.45">
      <c r="A178" s="4"/>
      <c r="B178" s="4"/>
      <c r="C178" s="54"/>
      <c r="J178" s="16"/>
      <c r="O178" s="4"/>
      <c r="P178" s="4"/>
      <c r="Q178" s="4"/>
      <c r="R178" s="4"/>
      <c r="S178" s="4"/>
      <c r="T178" s="4"/>
      <c r="U178" s="4"/>
      <c r="V178" s="4"/>
      <c r="W178" s="29"/>
      <c r="X178" s="29"/>
      <c r="Y178" s="29"/>
      <c r="Z178" s="4"/>
      <c r="AB178" s="4"/>
      <c r="AC178" s="4"/>
      <c r="AD178"/>
      <c r="AE178"/>
      <c r="AF178"/>
    </row>
    <row r="179" spans="1:32" s="15" customFormat="1" ht="14.25" x14ac:dyDescent="0.45">
      <c r="A179" s="4"/>
      <c r="B179" s="4"/>
      <c r="C179" s="54"/>
      <c r="J179" s="16"/>
      <c r="O179" s="4"/>
      <c r="P179" s="4"/>
      <c r="Q179" s="4"/>
      <c r="R179" s="4"/>
      <c r="S179" s="4"/>
      <c r="T179" s="4"/>
      <c r="U179" s="4"/>
      <c r="V179" s="4"/>
      <c r="W179" s="29"/>
      <c r="X179" s="29"/>
      <c r="Y179" s="29"/>
      <c r="Z179" s="4"/>
      <c r="AB179" s="4"/>
      <c r="AC179" s="4"/>
      <c r="AD179"/>
      <c r="AE179"/>
      <c r="AF179"/>
    </row>
    <row r="180" spans="1:32" s="15" customFormat="1" ht="14.25" x14ac:dyDescent="0.45">
      <c r="A180" s="4"/>
      <c r="B180" s="4"/>
      <c r="C180" s="54"/>
      <c r="J180" s="16"/>
      <c r="O180" s="4"/>
      <c r="P180" s="4"/>
      <c r="Q180" s="4"/>
      <c r="R180" s="4"/>
      <c r="S180" s="4"/>
      <c r="T180" s="4"/>
      <c r="U180" s="4"/>
      <c r="V180" s="4"/>
      <c r="W180" s="29"/>
      <c r="X180" s="29"/>
      <c r="Y180" s="29"/>
      <c r="Z180" s="4"/>
      <c r="AB180" s="4"/>
      <c r="AC180" s="4"/>
      <c r="AD180"/>
      <c r="AE180"/>
      <c r="AF180"/>
    </row>
    <row r="181" spans="1:32" s="15" customFormat="1" ht="14.25" x14ac:dyDescent="0.45">
      <c r="A181" s="4"/>
      <c r="B181" s="4"/>
      <c r="C181" s="54"/>
      <c r="J181" s="16"/>
      <c r="O181" s="4"/>
      <c r="P181" s="4"/>
      <c r="Q181" s="4"/>
      <c r="R181" s="4"/>
      <c r="S181" s="4"/>
      <c r="T181" s="4"/>
      <c r="U181" s="4"/>
      <c r="V181" s="4"/>
      <c r="W181" s="29"/>
      <c r="X181" s="29"/>
      <c r="Y181" s="29"/>
      <c r="Z181" s="4"/>
      <c r="AB181" s="4"/>
      <c r="AC181" s="4"/>
      <c r="AD181"/>
      <c r="AE181"/>
      <c r="AF181"/>
    </row>
    <row r="182" spans="1:32" s="15" customFormat="1" ht="14.25" x14ac:dyDescent="0.45">
      <c r="A182" s="4"/>
      <c r="B182" s="4"/>
      <c r="C182" s="54"/>
      <c r="J182" s="16"/>
      <c r="O182" s="4"/>
      <c r="P182" s="4"/>
      <c r="Q182" s="4"/>
      <c r="R182" s="4"/>
      <c r="S182" s="4"/>
      <c r="T182" s="4"/>
      <c r="U182" s="4"/>
      <c r="V182" s="4"/>
      <c r="W182" s="29"/>
      <c r="X182" s="29"/>
      <c r="Y182" s="29"/>
      <c r="Z182" s="4"/>
      <c r="AB182" s="4"/>
      <c r="AC182" s="4"/>
      <c r="AD182"/>
      <c r="AE182"/>
      <c r="AF182"/>
    </row>
    <row r="183" spans="1:32" s="15" customFormat="1" ht="14.25" x14ac:dyDescent="0.45">
      <c r="A183" s="4"/>
      <c r="B183" s="4"/>
      <c r="C183" s="54"/>
      <c r="J183" s="16"/>
      <c r="O183" s="4"/>
      <c r="P183" s="4"/>
      <c r="Q183" s="4"/>
      <c r="R183" s="4"/>
      <c r="S183" s="4"/>
      <c r="T183" s="4"/>
      <c r="U183" s="4"/>
      <c r="V183" s="4"/>
      <c r="W183" s="29"/>
      <c r="X183" s="29"/>
      <c r="Y183" s="29"/>
      <c r="Z183" s="4"/>
      <c r="AB183" s="4"/>
      <c r="AC183" s="4"/>
      <c r="AD183"/>
      <c r="AE183"/>
      <c r="AF183"/>
    </row>
    <row r="184" spans="1:32" s="15" customFormat="1" ht="14.25" x14ac:dyDescent="0.45">
      <c r="A184" s="4"/>
      <c r="B184" s="4"/>
      <c r="C184" s="54"/>
      <c r="J184" s="16"/>
      <c r="O184" s="4"/>
      <c r="P184" s="4"/>
      <c r="Q184" s="4"/>
      <c r="R184" s="4"/>
      <c r="S184" s="4"/>
      <c r="T184" s="4"/>
      <c r="U184" s="4"/>
      <c r="V184" s="4"/>
      <c r="W184" s="29"/>
      <c r="X184" s="29"/>
      <c r="Y184" s="29"/>
      <c r="Z184" s="4"/>
      <c r="AB184" s="4"/>
      <c r="AC184" s="4"/>
      <c r="AD184"/>
      <c r="AE184"/>
      <c r="AF184"/>
    </row>
    <row r="185" spans="1:32" s="15" customFormat="1" ht="14.25" x14ac:dyDescent="0.45">
      <c r="A185" s="4"/>
      <c r="B185" s="4"/>
      <c r="C185" s="54"/>
      <c r="J185" s="16"/>
      <c r="O185" s="4"/>
      <c r="P185" s="4"/>
      <c r="Q185" s="4"/>
      <c r="R185" s="4"/>
      <c r="S185" s="4"/>
      <c r="T185" s="4"/>
      <c r="U185" s="4"/>
      <c r="V185" s="4"/>
      <c r="W185" s="29"/>
      <c r="X185" s="29"/>
      <c r="Y185" s="29"/>
      <c r="Z185" s="4"/>
      <c r="AB185" s="4"/>
      <c r="AC185" s="4"/>
      <c r="AD185"/>
      <c r="AE185"/>
      <c r="AF185"/>
    </row>
    <row r="186" spans="1:32" s="15" customFormat="1" ht="14.25" x14ac:dyDescent="0.45">
      <c r="A186" s="4"/>
      <c r="B186" s="4"/>
      <c r="C186" s="54"/>
      <c r="J186" s="16"/>
      <c r="O186" s="4"/>
      <c r="P186" s="4"/>
      <c r="Q186" s="4"/>
      <c r="R186" s="4"/>
      <c r="S186" s="4"/>
      <c r="T186" s="4"/>
      <c r="U186" s="4"/>
      <c r="V186" s="4"/>
      <c r="W186" s="29"/>
      <c r="X186" s="29"/>
      <c r="Y186" s="29"/>
      <c r="Z186" s="4"/>
      <c r="AB186" s="4"/>
      <c r="AC186" s="4"/>
      <c r="AD186"/>
      <c r="AE186"/>
      <c r="AF186"/>
    </row>
    <row r="187" spans="1:32" s="15" customFormat="1" ht="14.25" x14ac:dyDescent="0.45">
      <c r="A187" s="4"/>
      <c r="B187" s="4"/>
      <c r="C187" s="54"/>
      <c r="J187" s="16"/>
      <c r="O187" s="4"/>
      <c r="P187" s="4"/>
      <c r="Q187" s="4"/>
      <c r="R187" s="4"/>
      <c r="S187" s="4"/>
      <c r="T187" s="4"/>
      <c r="U187" s="4"/>
      <c r="V187" s="4"/>
      <c r="W187" s="29"/>
      <c r="X187" s="29"/>
      <c r="Y187" s="29"/>
      <c r="Z187" s="4"/>
      <c r="AB187" s="4"/>
      <c r="AC187" s="4"/>
      <c r="AD187"/>
      <c r="AE187"/>
      <c r="AF187"/>
    </row>
    <row r="188" spans="1:32" s="15" customFormat="1" ht="14.25" x14ac:dyDescent="0.45">
      <c r="A188" s="4"/>
      <c r="B188" s="4"/>
      <c r="C188" s="54"/>
      <c r="J188" s="16"/>
      <c r="O188" s="4"/>
      <c r="P188" s="4"/>
      <c r="Q188" s="4"/>
      <c r="R188" s="4"/>
      <c r="S188" s="4"/>
      <c r="T188" s="4"/>
      <c r="U188" s="4"/>
      <c r="V188" s="4"/>
      <c r="W188" s="29"/>
      <c r="X188" s="29"/>
      <c r="Y188" s="29"/>
      <c r="Z188" s="4"/>
      <c r="AB188" s="4"/>
      <c r="AC188" s="4"/>
      <c r="AD188"/>
      <c r="AE188"/>
      <c r="AF188"/>
    </row>
    <row r="189" spans="1:32" s="15" customFormat="1" ht="14.25" x14ac:dyDescent="0.45">
      <c r="A189" s="4"/>
      <c r="B189" s="4"/>
      <c r="C189" s="54"/>
      <c r="J189" s="16"/>
      <c r="O189" s="4"/>
      <c r="P189" s="4"/>
      <c r="Q189" s="4"/>
      <c r="R189" s="4"/>
      <c r="S189" s="4"/>
      <c r="T189" s="4"/>
      <c r="U189" s="4"/>
      <c r="V189" s="4"/>
      <c r="W189" s="29"/>
      <c r="X189" s="29"/>
      <c r="Y189" s="29"/>
      <c r="Z189" s="4"/>
      <c r="AB189" s="4"/>
      <c r="AC189" s="4"/>
      <c r="AD189"/>
      <c r="AE189"/>
      <c r="AF189"/>
    </row>
    <row r="190" spans="1:32" s="15" customFormat="1" ht="14.25" x14ac:dyDescent="0.45">
      <c r="A190" s="4"/>
      <c r="B190" s="4"/>
      <c r="C190" s="54"/>
      <c r="J190" s="16"/>
      <c r="O190" s="4"/>
      <c r="P190" s="4"/>
      <c r="Q190" s="4"/>
      <c r="R190" s="4"/>
      <c r="S190" s="4"/>
      <c r="T190" s="4"/>
      <c r="U190" s="4"/>
      <c r="V190" s="4"/>
      <c r="W190" s="29"/>
      <c r="X190" s="29"/>
      <c r="Y190" s="29"/>
      <c r="Z190" s="4"/>
      <c r="AB190" s="4"/>
      <c r="AC190" s="4"/>
      <c r="AD190"/>
      <c r="AE190"/>
      <c r="AF190"/>
    </row>
    <row r="191" spans="1:32" s="15" customFormat="1" ht="14.25" x14ac:dyDescent="0.45">
      <c r="A191" s="4"/>
      <c r="B191" s="4"/>
      <c r="C191" s="54"/>
      <c r="J191" s="16"/>
      <c r="O191" s="4"/>
      <c r="P191" s="4"/>
      <c r="Q191" s="4"/>
      <c r="R191" s="4"/>
      <c r="S191" s="4"/>
      <c r="T191" s="4"/>
      <c r="U191" s="4"/>
      <c r="V191" s="4"/>
      <c r="W191" s="29"/>
      <c r="X191" s="29"/>
      <c r="Y191" s="29"/>
      <c r="Z191" s="4"/>
      <c r="AB191" s="4"/>
      <c r="AC191" s="4"/>
      <c r="AD191"/>
      <c r="AE191"/>
      <c r="AF191"/>
    </row>
    <row r="192" spans="1:32" s="15" customFormat="1" ht="14.25" x14ac:dyDescent="0.45">
      <c r="A192" s="4"/>
      <c r="B192" s="4"/>
      <c r="C192" s="54"/>
      <c r="J192" s="16"/>
      <c r="O192" s="4"/>
      <c r="P192" s="4"/>
      <c r="Q192" s="4"/>
      <c r="R192" s="4"/>
      <c r="S192" s="4"/>
      <c r="T192" s="4"/>
      <c r="U192" s="4"/>
      <c r="V192" s="4"/>
      <c r="W192" s="29"/>
      <c r="X192" s="29"/>
      <c r="Y192" s="29"/>
      <c r="Z192" s="4"/>
      <c r="AB192" s="4"/>
      <c r="AC192" s="4"/>
      <c r="AD192"/>
      <c r="AE192"/>
      <c r="AF192"/>
    </row>
    <row r="193" spans="1:32" s="15" customFormat="1" ht="14.25" x14ac:dyDescent="0.45">
      <c r="A193" s="4"/>
      <c r="B193" s="4"/>
      <c r="C193" s="54"/>
      <c r="J193" s="16"/>
      <c r="O193" s="4"/>
      <c r="P193" s="4"/>
      <c r="Q193" s="4"/>
      <c r="R193" s="4"/>
      <c r="S193" s="4"/>
      <c r="T193" s="4"/>
      <c r="U193" s="4"/>
      <c r="V193" s="4"/>
      <c r="W193" s="29"/>
      <c r="X193" s="29"/>
      <c r="Y193" s="29"/>
      <c r="Z193" s="4"/>
      <c r="AB193" s="4"/>
      <c r="AC193" s="4"/>
      <c r="AD193"/>
      <c r="AE193"/>
      <c r="AF193"/>
    </row>
    <row r="194" spans="1:32" s="15" customFormat="1" ht="14.25" x14ac:dyDescent="0.45">
      <c r="A194" s="4"/>
      <c r="B194" s="4"/>
      <c r="C194" s="54"/>
      <c r="J194" s="16"/>
      <c r="O194" s="4"/>
      <c r="P194" s="4"/>
      <c r="Q194" s="4"/>
      <c r="R194" s="4"/>
      <c r="S194" s="4"/>
      <c r="T194" s="4"/>
      <c r="U194" s="4"/>
      <c r="V194" s="4"/>
      <c r="W194" s="29"/>
      <c r="X194" s="29"/>
      <c r="Y194" s="29"/>
      <c r="Z194" s="4"/>
      <c r="AB194" s="4"/>
      <c r="AC194" s="4"/>
      <c r="AD194"/>
      <c r="AE194"/>
      <c r="AF194"/>
    </row>
    <row r="195" spans="1:32" s="15" customFormat="1" ht="14.25" x14ac:dyDescent="0.45">
      <c r="A195" s="4"/>
      <c r="B195" s="4"/>
      <c r="C195" s="54"/>
      <c r="J195" s="16"/>
      <c r="O195" s="4"/>
      <c r="P195" s="4"/>
      <c r="Q195" s="4"/>
      <c r="R195" s="4"/>
      <c r="S195" s="4"/>
      <c r="T195" s="4"/>
      <c r="U195" s="4"/>
      <c r="V195" s="4"/>
      <c r="W195" s="29"/>
      <c r="X195" s="29"/>
      <c r="Y195" s="29"/>
      <c r="Z195" s="4"/>
      <c r="AB195" s="4"/>
      <c r="AC195" s="4"/>
      <c r="AD195"/>
      <c r="AE195"/>
      <c r="AF195"/>
    </row>
    <row r="196" spans="1:32" s="15" customFormat="1" ht="14.25" x14ac:dyDescent="0.45">
      <c r="A196" s="4"/>
      <c r="B196" s="4"/>
      <c r="C196" s="54"/>
      <c r="J196" s="16"/>
      <c r="O196" s="4"/>
      <c r="P196" s="4"/>
      <c r="Q196" s="4"/>
      <c r="R196" s="4"/>
      <c r="S196" s="4"/>
      <c r="T196" s="4"/>
      <c r="U196" s="4"/>
      <c r="V196" s="4"/>
      <c r="W196" s="29"/>
      <c r="X196" s="29"/>
      <c r="Y196" s="29"/>
      <c r="Z196" s="4"/>
      <c r="AB196" s="4"/>
      <c r="AC196" s="4"/>
      <c r="AD196"/>
      <c r="AE196"/>
      <c r="AF196"/>
    </row>
    <row r="197" spans="1:32" s="15" customFormat="1" ht="14.25" x14ac:dyDescent="0.45">
      <c r="A197" s="4"/>
      <c r="B197" s="4"/>
      <c r="C197" s="54"/>
      <c r="J197" s="16"/>
      <c r="O197" s="4"/>
      <c r="P197" s="4"/>
      <c r="Q197" s="4"/>
      <c r="R197" s="4"/>
      <c r="S197" s="4"/>
      <c r="T197" s="4"/>
      <c r="U197" s="4"/>
      <c r="V197" s="4"/>
      <c r="W197" s="29"/>
      <c r="X197" s="29"/>
      <c r="Y197" s="29"/>
      <c r="Z197" s="4"/>
      <c r="AB197" s="4"/>
      <c r="AC197" s="4"/>
      <c r="AD197"/>
      <c r="AE197"/>
      <c r="AF197"/>
    </row>
    <row r="198" spans="1:32" s="15" customFormat="1" ht="14.25" x14ac:dyDescent="0.45">
      <c r="A198" s="4"/>
      <c r="B198" s="4"/>
      <c r="C198" s="54"/>
      <c r="J198" s="16"/>
      <c r="O198" s="4"/>
      <c r="P198" s="4"/>
      <c r="Q198" s="4"/>
      <c r="R198" s="4"/>
      <c r="S198" s="4"/>
      <c r="T198" s="4"/>
      <c r="U198" s="4"/>
      <c r="V198" s="4"/>
      <c r="W198" s="29"/>
      <c r="X198" s="29"/>
      <c r="Y198" s="29"/>
      <c r="Z198" s="4"/>
      <c r="AB198" s="4"/>
      <c r="AC198" s="4"/>
      <c r="AD198"/>
      <c r="AE198"/>
      <c r="AF198"/>
    </row>
    <row r="199" spans="1:32" s="15" customFormat="1" ht="14.25" x14ac:dyDescent="0.45">
      <c r="A199" s="4"/>
      <c r="B199" s="4"/>
      <c r="C199" s="54"/>
      <c r="J199" s="16"/>
      <c r="O199" s="4"/>
      <c r="P199" s="4"/>
      <c r="Q199" s="4"/>
      <c r="R199" s="4"/>
      <c r="S199" s="4"/>
      <c r="T199" s="4"/>
      <c r="U199" s="4"/>
      <c r="V199" s="4"/>
      <c r="W199" s="29"/>
      <c r="X199" s="29"/>
      <c r="Y199" s="29"/>
      <c r="Z199" s="4"/>
      <c r="AB199" s="4"/>
      <c r="AC199" s="4"/>
      <c r="AD199"/>
      <c r="AE199"/>
      <c r="AF199"/>
    </row>
    <row r="200" spans="1:32" s="15" customFormat="1" ht="14.25" x14ac:dyDescent="0.45">
      <c r="A200" s="4"/>
      <c r="B200" s="4"/>
      <c r="C200" s="54"/>
      <c r="J200" s="16"/>
      <c r="O200" s="4"/>
      <c r="P200" s="4"/>
      <c r="Q200" s="4"/>
      <c r="R200" s="4"/>
      <c r="S200" s="4"/>
      <c r="T200" s="4"/>
      <c r="U200" s="4"/>
      <c r="V200" s="4"/>
      <c r="W200" s="29"/>
      <c r="X200" s="29"/>
      <c r="Y200" s="29"/>
      <c r="Z200" s="4"/>
      <c r="AB200" s="4"/>
      <c r="AC200" s="4"/>
      <c r="AD200"/>
      <c r="AE200"/>
      <c r="AF200"/>
    </row>
    <row r="201" spans="1:32" s="15" customFormat="1" ht="14.25" x14ac:dyDescent="0.45">
      <c r="A201" s="4"/>
      <c r="B201" s="4"/>
      <c r="C201" s="54"/>
      <c r="J201" s="16"/>
      <c r="O201" s="4"/>
      <c r="P201" s="4"/>
      <c r="Q201" s="4"/>
      <c r="R201" s="4"/>
      <c r="S201" s="4"/>
      <c r="T201" s="4"/>
      <c r="U201" s="4"/>
      <c r="V201" s="4"/>
      <c r="W201" s="29"/>
      <c r="X201" s="29"/>
      <c r="Y201" s="29"/>
      <c r="Z201" s="4"/>
      <c r="AB201" s="4"/>
      <c r="AC201" s="4"/>
      <c r="AD201"/>
      <c r="AE201"/>
      <c r="AF201"/>
    </row>
    <row r="202" spans="1:32" s="15" customFormat="1" ht="14.25" x14ac:dyDescent="0.45">
      <c r="A202" s="4"/>
      <c r="B202" s="4"/>
      <c r="C202" s="54"/>
      <c r="J202" s="16"/>
      <c r="O202" s="4"/>
      <c r="P202" s="4"/>
      <c r="Q202" s="4"/>
      <c r="R202" s="4"/>
      <c r="S202" s="4"/>
      <c r="T202" s="4"/>
      <c r="U202" s="4"/>
      <c r="V202" s="4"/>
      <c r="W202" s="29"/>
      <c r="X202" s="29"/>
      <c r="Y202" s="29"/>
      <c r="Z202" s="4"/>
      <c r="AB202" s="4"/>
      <c r="AC202" s="4"/>
      <c r="AD202"/>
      <c r="AE202"/>
      <c r="AF202"/>
    </row>
    <row r="203" spans="1:32" s="15" customFormat="1" ht="14.25" x14ac:dyDescent="0.45">
      <c r="A203" s="4"/>
      <c r="B203" s="4"/>
      <c r="C203" s="54"/>
      <c r="J203" s="16"/>
      <c r="O203" s="4"/>
      <c r="P203" s="4"/>
      <c r="Q203" s="4"/>
      <c r="R203" s="4"/>
      <c r="S203" s="4"/>
      <c r="T203" s="4"/>
      <c r="U203" s="4"/>
      <c r="V203" s="4"/>
      <c r="W203" s="29"/>
      <c r="X203" s="29"/>
      <c r="Y203" s="29"/>
      <c r="Z203" s="4"/>
      <c r="AB203" s="4"/>
      <c r="AC203" s="4"/>
      <c r="AD203"/>
      <c r="AE203"/>
      <c r="AF203"/>
    </row>
    <row r="204" spans="1:32" s="15" customFormat="1" ht="14.25" x14ac:dyDescent="0.45">
      <c r="A204" s="4"/>
      <c r="B204" s="4"/>
      <c r="C204" s="54"/>
      <c r="J204" s="16"/>
      <c r="O204" s="4"/>
      <c r="P204" s="4"/>
      <c r="Q204" s="4"/>
      <c r="R204" s="4"/>
      <c r="S204" s="4"/>
      <c r="T204" s="4"/>
      <c r="U204" s="4"/>
      <c r="V204" s="4"/>
      <c r="W204" s="29"/>
      <c r="X204" s="29"/>
      <c r="Y204" s="29"/>
      <c r="Z204" s="4"/>
      <c r="AB204" s="4"/>
      <c r="AC204" s="4"/>
      <c r="AD204"/>
      <c r="AE204"/>
      <c r="AF204"/>
    </row>
    <row r="205" spans="1:32" s="15" customFormat="1" ht="14.25" x14ac:dyDescent="0.45">
      <c r="A205" s="4"/>
      <c r="B205" s="4"/>
      <c r="C205" s="54"/>
      <c r="J205" s="16"/>
      <c r="O205" s="4"/>
      <c r="P205" s="4"/>
      <c r="Q205" s="4"/>
      <c r="R205" s="4"/>
      <c r="S205" s="4"/>
      <c r="T205" s="4"/>
      <c r="U205" s="4"/>
      <c r="V205" s="4"/>
      <c r="W205" s="29"/>
      <c r="X205" s="29"/>
      <c r="Y205" s="29"/>
      <c r="Z205" s="4"/>
      <c r="AB205" s="4"/>
      <c r="AC205" s="4"/>
      <c r="AD205"/>
      <c r="AE205"/>
      <c r="AF205"/>
    </row>
    <row r="206" spans="1:32" s="15" customFormat="1" ht="14.25" x14ac:dyDescent="0.45">
      <c r="A206" s="4"/>
      <c r="B206" s="4"/>
      <c r="C206" s="54"/>
      <c r="J206" s="16"/>
      <c r="O206" s="4"/>
      <c r="P206" s="4"/>
      <c r="Q206" s="4"/>
      <c r="R206" s="4"/>
      <c r="S206" s="4"/>
      <c r="T206" s="4"/>
      <c r="U206" s="4"/>
      <c r="V206" s="4"/>
      <c r="W206" s="29"/>
      <c r="X206" s="29"/>
      <c r="Y206" s="29"/>
      <c r="Z206" s="4"/>
      <c r="AB206" s="4"/>
      <c r="AC206" s="4"/>
      <c r="AD206"/>
      <c r="AE206"/>
      <c r="AF206"/>
    </row>
    <row r="207" spans="1:32" s="15" customFormat="1" ht="14.25" x14ac:dyDescent="0.45">
      <c r="A207" s="4"/>
      <c r="B207" s="4"/>
      <c r="C207" s="54"/>
      <c r="J207" s="16"/>
      <c r="O207" s="4"/>
      <c r="P207" s="4"/>
      <c r="Q207" s="4"/>
      <c r="R207" s="4"/>
      <c r="S207" s="4"/>
      <c r="T207" s="4"/>
      <c r="U207" s="4"/>
      <c r="V207" s="4"/>
      <c r="W207" s="29"/>
      <c r="X207" s="29"/>
      <c r="Y207" s="29"/>
      <c r="Z207" s="4"/>
      <c r="AB207" s="4"/>
      <c r="AC207" s="4"/>
      <c r="AD207"/>
      <c r="AE207"/>
      <c r="AF207"/>
    </row>
    <row r="208" spans="1:32" s="15" customFormat="1" ht="14.25" x14ac:dyDescent="0.45">
      <c r="A208" s="4"/>
      <c r="B208" s="4"/>
      <c r="C208" s="54"/>
      <c r="J208" s="16"/>
      <c r="O208" s="4"/>
      <c r="P208" s="4"/>
      <c r="Q208" s="4"/>
      <c r="R208" s="4"/>
      <c r="S208" s="4"/>
      <c r="T208" s="4"/>
      <c r="U208" s="4"/>
      <c r="V208" s="4"/>
      <c r="W208" s="29"/>
      <c r="X208" s="29"/>
      <c r="Y208" s="29"/>
      <c r="Z208" s="4"/>
      <c r="AB208" s="4"/>
      <c r="AC208" s="4"/>
      <c r="AD208"/>
      <c r="AE208"/>
      <c r="AF208"/>
    </row>
    <row r="209" spans="1:32" s="15" customFormat="1" ht="14.25" x14ac:dyDescent="0.45">
      <c r="A209" s="4"/>
      <c r="B209" s="4"/>
      <c r="C209" s="54"/>
      <c r="J209" s="16"/>
      <c r="O209" s="4"/>
      <c r="P209" s="4"/>
      <c r="Q209" s="4"/>
      <c r="R209" s="4"/>
      <c r="S209" s="4"/>
      <c r="T209" s="4"/>
      <c r="U209" s="4"/>
      <c r="V209" s="4"/>
      <c r="W209" s="29"/>
      <c r="X209" s="29"/>
      <c r="Y209" s="29"/>
      <c r="Z209" s="4"/>
      <c r="AB209" s="4"/>
      <c r="AC209" s="4"/>
      <c r="AD209"/>
      <c r="AE209"/>
      <c r="AF209"/>
    </row>
    <row r="210" spans="1:32" s="15" customFormat="1" ht="14.25" x14ac:dyDescent="0.45">
      <c r="A210" s="4"/>
      <c r="B210" s="4"/>
      <c r="C210" s="54"/>
      <c r="J210" s="16"/>
      <c r="O210" s="4"/>
      <c r="P210" s="4"/>
      <c r="Q210" s="4"/>
      <c r="R210" s="4"/>
      <c r="S210" s="4"/>
      <c r="T210" s="4"/>
      <c r="U210" s="4"/>
      <c r="V210" s="4"/>
      <c r="W210" s="29"/>
      <c r="X210" s="29"/>
      <c r="Y210" s="29"/>
      <c r="Z210" s="4"/>
      <c r="AB210" s="4"/>
      <c r="AC210" s="4"/>
      <c r="AD210"/>
      <c r="AE210"/>
      <c r="AF210"/>
    </row>
    <row r="211" spans="1:32" s="15" customFormat="1" ht="14.25" x14ac:dyDescent="0.45">
      <c r="A211" s="4"/>
      <c r="B211" s="4"/>
      <c r="C211" s="54"/>
      <c r="J211" s="16"/>
      <c r="O211" s="4"/>
      <c r="P211" s="4"/>
      <c r="Q211" s="4"/>
      <c r="R211" s="4"/>
      <c r="S211" s="4"/>
      <c r="T211" s="4"/>
      <c r="U211" s="4"/>
      <c r="V211" s="4"/>
      <c r="W211" s="29"/>
      <c r="X211" s="29"/>
      <c r="Y211" s="29"/>
      <c r="Z211" s="4"/>
      <c r="AB211" s="4"/>
      <c r="AC211" s="4"/>
      <c r="AD211"/>
      <c r="AE211"/>
      <c r="AF211"/>
    </row>
    <row r="212" spans="1:32" s="15" customFormat="1" ht="14.25" x14ac:dyDescent="0.45">
      <c r="A212" s="4"/>
      <c r="B212" s="4"/>
      <c r="C212" s="54"/>
      <c r="J212" s="16"/>
      <c r="O212" s="4"/>
      <c r="P212" s="4"/>
      <c r="Q212" s="4"/>
      <c r="R212" s="4"/>
      <c r="S212" s="4"/>
      <c r="T212" s="4"/>
      <c r="U212" s="4"/>
      <c r="V212" s="4"/>
      <c r="W212" s="29"/>
      <c r="X212" s="29"/>
      <c r="Y212" s="29"/>
      <c r="Z212" s="4"/>
      <c r="AB212" s="4"/>
      <c r="AC212" s="4"/>
      <c r="AD212"/>
      <c r="AE212"/>
      <c r="AF212"/>
    </row>
    <row r="213" spans="1:32" s="15" customFormat="1" ht="14.25" x14ac:dyDescent="0.45">
      <c r="A213" s="4"/>
      <c r="B213" s="4"/>
      <c r="C213" s="54"/>
      <c r="J213" s="16"/>
      <c r="O213" s="4"/>
      <c r="P213" s="4"/>
      <c r="Q213" s="4"/>
      <c r="R213" s="4"/>
      <c r="S213" s="4"/>
      <c r="T213" s="4"/>
      <c r="U213" s="4"/>
      <c r="V213" s="4"/>
      <c r="W213" s="29"/>
      <c r="X213" s="29"/>
      <c r="Y213" s="29"/>
      <c r="Z213" s="4"/>
      <c r="AB213" s="4"/>
      <c r="AC213" s="4"/>
      <c r="AD213"/>
      <c r="AE213"/>
      <c r="AF213"/>
    </row>
    <row r="214" spans="1:32" s="15" customFormat="1" ht="14.25" x14ac:dyDescent="0.45">
      <c r="A214" s="4"/>
      <c r="B214" s="4"/>
      <c r="C214" s="54"/>
      <c r="J214" s="16"/>
      <c r="O214" s="4"/>
      <c r="P214" s="4"/>
      <c r="Q214" s="4"/>
      <c r="R214" s="4"/>
      <c r="S214" s="4"/>
      <c r="T214" s="4"/>
      <c r="U214" s="4"/>
      <c r="V214" s="4"/>
      <c r="W214" s="29"/>
      <c r="X214" s="29"/>
      <c r="Y214" s="29"/>
      <c r="Z214" s="4"/>
      <c r="AB214" s="4"/>
      <c r="AC214" s="4"/>
      <c r="AD214"/>
      <c r="AE214"/>
      <c r="AF214"/>
    </row>
  </sheetData>
  <autoFilter ref="A1:AB70" xr:uid="{FCE3DA7F-580C-4DFD-86AE-60298660D065}"/>
  <conditionalFormatting sqref="F4:I4">
    <cfRule type="expression" dxfId="228" priority="1">
      <formula>$E$6="D"</formula>
    </cfRule>
  </conditionalFormatting>
  <conditionalFormatting sqref="F6:I6">
    <cfRule type="expression" dxfId="227" priority="1711">
      <formula>$E$6="D"</formula>
    </cfRule>
  </conditionalFormatting>
  <conditionalFormatting sqref="F7:I7">
    <cfRule type="expression" dxfId="226" priority="1712">
      <formula>$E$7="D"</formula>
    </cfRule>
  </conditionalFormatting>
  <conditionalFormatting sqref="F8:I8">
    <cfRule type="expression" dxfId="225" priority="1713">
      <formula>$E$8="D"</formula>
    </cfRule>
  </conditionalFormatting>
  <conditionalFormatting sqref="F9:I9">
    <cfRule type="expression" dxfId="224" priority="1714">
      <formula>$E$9="D"</formula>
    </cfRule>
  </conditionalFormatting>
  <conditionalFormatting sqref="F10:I18">
    <cfRule type="expression" dxfId="223" priority="1715">
      <formula>$E$10="D"</formula>
    </cfRule>
  </conditionalFormatting>
  <conditionalFormatting sqref="F11:I11">
    <cfRule type="expression" dxfId="222" priority="1716">
      <formula>$E$11="D"</formula>
    </cfRule>
  </conditionalFormatting>
  <conditionalFormatting sqref="F12:I12">
    <cfRule type="expression" dxfId="221" priority="1717">
      <formula>$E$12="D"</formula>
    </cfRule>
  </conditionalFormatting>
  <conditionalFormatting sqref="F13:I18 F25:I28">
    <cfRule type="expression" dxfId="220" priority="1702">
      <formula>$E$13="D"</formula>
    </cfRule>
  </conditionalFormatting>
  <conditionalFormatting sqref="F21:I21">
    <cfRule type="expression" dxfId="219" priority="1698">
      <formula>$E$21="D"</formula>
    </cfRule>
  </conditionalFormatting>
  <conditionalFormatting sqref="F22:I23">
    <cfRule type="expression" dxfId="218" priority="1699">
      <formula>$E$22="D"</formula>
    </cfRule>
  </conditionalFormatting>
  <conditionalFormatting sqref="F24:I59">
    <cfRule type="expression" dxfId="217" priority="1700">
      <formula>$E$24="D"</formula>
    </cfRule>
  </conditionalFormatting>
  <conditionalFormatting sqref="F29:I59">
    <cfRule type="expression" dxfId="216" priority="1704">
      <formula>$E$29="D"</formula>
    </cfRule>
  </conditionalFormatting>
  <conditionalFormatting sqref="F30:I30">
    <cfRule type="expression" dxfId="215" priority="1706">
      <formula>$E$30="D"</formula>
    </cfRule>
  </conditionalFormatting>
  <conditionalFormatting sqref="F31:I31">
    <cfRule type="expression" dxfId="214" priority="1707">
      <formula>$E$31="D"</formula>
    </cfRule>
  </conditionalFormatting>
  <conditionalFormatting sqref="F32:I32">
    <cfRule type="expression" dxfId="213" priority="1708">
      <formula>$E$32="D"</formula>
    </cfRule>
  </conditionalFormatting>
  <conditionalFormatting sqref="F33:I59">
    <cfRule type="expression" dxfId="212" priority="1709">
      <formula>$E$33="D"</formula>
    </cfRule>
  </conditionalFormatting>
  <conditionalFormatting sqref="F41:I59 F62:I63 F65:I67">
    <cfRule type="expression" dxfId="211" priority="1719">
      <formula>$E$13="D"</formula>
    </cfRule>
    <cfRule type="expression" dxfId="210" priority="1720">
      <formula>$E$10="D"</formula>
    </cfRule>
  </conditionalFormatting>
  <conditionalFormatting sqref="F42:I43">
    <cfRule type="expression" dxfId="209" priority="1693">
      <formula>$E$42="D"</formula>
    </cfRule>
  </conditionalFormatting>
  <conditionalFormatting sqref="F44:I46">
    <cfRule type="expression" dxfId="208" priority="1694">
      <formula>$E$44="D"</formula>
    </cfRule>
  </conditionalFormatting>
  <conditionalFormatting sqref="F47:I47">
    <cfRule type="expression" dxfId="207" priority="1695">
      <formula>$E$47="D"</formula>
    </cfRule>
  </conditionalFormatting>
  <conditionalFormatting sqref="F48:I59">
    <cfRule type="expression" dxfId="206" priority="1696">
      <formula>$E$48="D"</formula>
    </cfRule>
  </conditionalFormatting>
  <conditionalFormatting sqref="F51:I59">
    <cfRule type="expression" dxfId="205" priority="1697">
      <formula>$E$51="D"</formula>
    </cfRule>
  </conditionalFormatting>
  <conditionalFormatting sqref="F70:I70">
    <cfRule type="expression" dxfId="204" priority="1718">
      <formula>$E$70="D"</formula>
    </cfRule>
  </conditionalFormatting>
  <hyperlinks>
    <hyperlink ref="V6" r:id="rId1" xr:uid="{EA722F3A-B567-4B5D-AE33-96EB53EC96B5}"/>
    <hyperlink ref="V7" r:id="rId2" display="Global Admin" xr:uid="{57ADBB5B-7E3D-4F28-8702-F29C83C1547B}"/>
    <hyperlink ref="V8" r:id="rId3" xr:uid="{20B985E3-EA2A-4E0E-8A9E-6B10B69C800E}"/>
    <hyperlink ref="V11" r:id="rId4" xr:uid="{8E8E0E92-CB71-4CAD-B962-211602F129A8}"/>
    <hyperlink ref="V70" r:id="rId5" xr:uid="{C6C0FBF9-C673-47DF-98AD-EDC77FDE9395}"/>
    <hyperlink ref="V30" r:id="rId6" location="identity-protection" xr:uid="{53CA28AA-0D38-4B09-8C65-4907E41BF716}"/>
    <hyperlink ref="V31" r:id="rId7" xr:uid="{7800BF11-0386-41AE-AF81-2342C426CEBE}"/>
    <hyperlink ref="V9" r:id="rId8" location="multi-factor-authentication" xr:uid="{47B5DDD7-0750-4BC9-B0E7-1ECCC5062531}"/>
    <hyperlink ref="V10" r:id="rId9" display="Conditional Access Administrator" xr:uid="{399C797A-47F4-426C-A51F-69C6E1095595}"/>
    <hyperlink ref="V29" r:id="rId10" location="multi-factor-authentication" xr:uid="{AD365A89-3530-4D0C-BD63-46A0C783B29E}"/>
    <hyperlink ref="V33" r:id="rId11" location="multi-factor-authentication" xr:uid="{36D71F5C-19AF-45A6-BC8F-409E02C42E19}"/>
    <hyperlink ref="U6" r:id="rId12" xr:uid="{88CFB79C-A2E0-4F07-8FDB-AE8D06669991}"/>
    <hyperlink ref="U7" r:id="rId13" xr:uid="{FDE11A3F-7BC8-4B09-8324-773971B1D99E}"/>
    <hyperlink ref="U8" r:id="rId14" display="https://endpoint.microsoft.com" xr:uid="{8AA18EAD-59B1-471C-B974-27805FC21D4F}"/>
    <hyperlink ref="U9" r:id="rId15" xr:uid="{4A16DC30-E616-44E6-9F43-B9D63D7A7CCB}"/>
    <hyperlink ref="U10" r:id="rId16" xr:uid="{4BAD9A9F-776E-4CB4-8278-14D08EC463BD}"/>
    <hyperlink ref="U70" r:id="rId17" xr:uid="{B2728677-9F59-4FB7-BB69-722E057B2328}"/>
    <hyperlink ref="U11" r:id="rId18" xr:uid="{DC8F1934-DB92-43A0-933A-52B77F290570}"/>
    <hyperlink ref="U30" r:id="rId19" xr:uid="{0ED2893C-9B5F-4ADE-A3B7-BD4BC27209DF}"/>
    <hyperlink ref="U32" r:id="rId20" xr:uid="{574DE1B5-BD59-42C3-A531-D63D60AA1F95}"/>
    <hyperlink ref="U33" r:id="rId21" xr:uid="{CB94FABD-25D1-4B61-B79B-915EAE58B344}"/>
    <hyperlink ref="U31" r:id="rId22" xr:uid="{A277A19D-2F30-4AEE-868F-CFF5C28ECE88}"/>
    <hyperlink ref="U13" r:id="rId23" display="https://entra.microsoft.com" xr:uid="{F6131851-D423-4578-82EC-DC6354B4D1A8}"/>
    <hyperlink ref="A7" r:id="rId24" display="Viva Learning" xr:uid="{27D94E20-4692-4071-A299-831ECA70B496}"/>
    <hyperlink ref="A11" r:id="rId25" display="https://docs.microsoft.com/en-us/microsoft-365/contentunderstanding/" xr:uid="{3CD64E5A-DB7D-43B4-A281-4EA269D1C2FE}"/>
    <hyperlink ref="A30" r:id="rId26" display="https://learn.microsoft.com/en-us/microsoftteams/teams-adoption-understand-teams-and-channels" xr:uid="{A1B88AFF-986E-4D95-9C56-34F98DE55D16}"/>
    <hyperlink ref="A31" r:id="rId27" display="https://learn.microsoft.com/en-us/microsoftteams/manage-apps" xr:uid="{0436E328-3548-4C04-9ADA-5BCFF8A62BD2}"/>
    <hyperlink ref="A32" r:id="rId28" display="https://learn.microsoft.com/en-us/microsoftteams/audio-conferencing-in-office-365" xr:uid="{0F3EFE1F-BE49-4224-92B0-C9DA47E78A6A}"/>
    <hyperlink ref="A33" r:id="rId29" display="https://learn.microsoft.com/en-us/microsoftteams/calling-plans-for-office-365" xr:uid="{3036BCD0-D226-4502-A483-1A13BEB91F56}"/>
    <hyperlink ref="A12" r:id="rId30" display="https://support.microsoft.com/en-us/office/what-you-can-do-in-the-office-apps-on-mobile-devices-with-a-microsoft-365-subscription-9ef8b63a-05fd-4f9c-bac5-29da046833ea" xr:uid="{91AD1C95-205C-445B-AEBB-9A1DEBB321EC}"/>
    <hyperlink ref="A13" r:id="rId31" display="https://learn.microsoft.com/en-us/power-bi/fundamentals/power-bi-overview" xr:uid="{266272B9-C30E-43AA-BE36-B70E93C53155}"/>
    <hyperlink ref="A26" r:id="rId32" display="https://learn.microsoft.com/en-us/microsoftteams/manage-virtual-appointments-app" xr:uid="{19AF1AE0-0CB8-4800-A284-8F7C23A3CB21}"/>
    <hyperlink ref="A9" r:id="rId33" display="Viva Goals" xr:uid="{2D5F090D-8B85-46CC-AF9A-AA7F68184C55}"/>
    <hyperlink ref="A27" r:id="rId34" display="https://learn.microsoft.com/en-us/microsoft-365/frontline/browser-join?view=o365-worldwide" xr:uid="{60B9527F-F1E1-4F18-B763-9484E5472135}"/>
    <hyperlink ref="A28" r:id="rId35" display="https://learn.microsoft.com/en-us/microsoftteams/calling-plans-for-office-365" xr:uid="{F8B4F74A-040F-4DE8-95EB-675D8917B662}"/>
    <hyperlink ref="U18" r:id="rId36" display="https://entra.microsoft.com" xr:uid="{5FDF3719-DF70-4DD4-866F-5A0B2E146BDA}"/>
    <hyperlink ref="U14" r:id="rId37" display="https://admin.microsoft.com" xr:uid="{5CBF42A7-F18C-4389-A436-3A51D0ED00F4}"/>
    <hyperlink ref="U15" r:id="rId38" display="https://admin.microsoft.com" xr:uid="{EC1FD0B7-551E-493D-94BC-B80CB24F4257}"/>
    <hyperlink ref="A37" r:id="rId39" xr:uid="{22D75CA7-BB31-43C3-9075-087BF2E9040E}"/>
    <hyperlink ref="U16" r:id="rId40" display="https://entra.microsoft.com" xr:uid="{B4ED0A33-1A16-4415-A075-8F448EBF5DBF}"/>
    <hyperlink ref="U17" r:id="rId41" display="https://admin.microsoft.com" xr:uid="{1111D04F-0772-41B5-A341-A608445ABAD6}"/>
    <hyperlink ref="U63" r:id="rId42" display="https://entra.microsoft.com" xr:uid="{73A4DCE3-92E6-4F8E-B3D9-1456C74E5D6E}"/>
    <hyperlink ref="U62" r:id="rId43" display="https://entra.microsoft.com" xr:uid="{59F677CB-EB2B-4C51-A4B8-461E7A843015}"/>
    <hyperlink ref="U66" r:id="rId44" display="https://entra.microsoft.com" xr:uid="{E4E6C065-ACFC-4217-8546-4A8EED0C571D}"/>
    <hyperlink ref="U65" r:id="rId45" display="https://entra.microsoft.com" xr:uid="{E3F00C9E-4317-48FE-9574-EC69F9EE55E3}"/>
    <hyperlink ref="U67" r:id="rId46" display="https://entra.microsoft.com" xr:uid="{7E75CB3E-60C2-4BE7-B946-602663562346}"/>
    <hyperlink ref="A36" r:id="rId47" xr:uid="{F8904237-7FA0-4FC7-AA7B-4D1DB1EDE652}"/>
    <hyperlink ref="A35" r:id="rId48" xr:uid="{28326505-67D4-450D-83BA-CAA9B93DDFF0}"/>
    <hyperlink ref="A39" r:id="rId49" xr:uid="{E481258C-7DF3-4BB6-AAE2-150358650A20}"/>
    <hyperlink ref="A38" r:id="rId50" xr:uid="{6360F1FF-C64C-4643-BED2-4352C4A1C449}"/>
    <hyperlink ref="A29" r:id="rId51" xr:uid="{216EF622-9C8D-409D-9C92-3D1CB1EB4988}"/>
    <hyperlink ref="A40" r:id="rId52" xr:uid="{02C38575-7D97-4FBC-AE69-40F60EFB87D2}"/>
    <hyperlink ref="A5" r:id="rId53" display="Viva Topics" xr:uid="{66F859CC-A485-4913-8932-DE5AD01E4019}"/>
    <hyperlink ref="A6" r:id="rId54" display="Viva Insights" xr:uid="{AF1E1E8F-7B83-4EEE-BCC7-6631B3D34CC2}"/>
    <hyperlink ref="A8" r:id="rId55" display="Viva Connections" xr:uid="{9B5C4B99-CF56-484D-903A-29E2CF29BAF7}"/>
    <hyperlink ref="A10" r:id="rId56" display="https://learn.microsoft.com/en-us/viva/engage/overview" xr:uid="{2B8B2F66-C0B2-4022-8DC5-CBC6F3D3EF75}"/>
    <hyperlink ref="A14" r:id="rId57" display="https://learn.microsoft.com/en-us/power-automate/getting-started" xr:uid="{AC25AED0-F375-4F73-AAFD-1E7B28AF7491}"/>
    <hyperlink ref="A17" r:id="rId58" xr:uid="{2AF49C08-DA41-4A6E-8381-B8BDEC5F2931}"/>
    <hyperlink ref="A15" r:id="rId59" display="https://learn.microsoft.com/en-us/power-apps/powerapps-overview" xr:uid="{D6FF8462-DA7E-430B-869F-AD3B9A7720CA}"/>
    <hyperlink ref="A18" r:id="rId60" display="https://learn.microsoft.com/en-us/microsoftteams/manage-virtual-appointments-app" xr:uid="{80441C71-5C93-4F0F-8418-C4E554806ECC}"/>
    <hyperlink ref="A16" r:id="rId61" xr:uid="{1A852A92-67D0-484A-ACF3-6ECDE4C17D4C}"/>
    <hyperlink ref="A62" r:id="rId62" xr:uid="{A528B7F8-3D0E-4625-8625-BDD2A5FFA8BC}"/>
    <hyperlink ref="A63" r:id="rId63" xr:uid="{BF563A10-D431-4F5D-944E-F5BADED3AB41}"/>
    <hyperlink ref="A65" r:id="rId64" xr:uid="{24DB28EF-5A83-4308-9EED-DF4348050CAB}"/>
    <hyperlink ref="A66" r:id="rId65" xr:uid="{35795C5E-909F-4CD2-B9C8-3FC3CD220D4E}"/>
    <hyperlink ref="A67" r:id="rId66" xr:uid="{2ADBEA45-8D49-479F-8636-80AECD642DBE}"/>
    <hyperlink ref="A69" r:id="rId67" xr:uid="{597FF29A-7552-4328-AB23-8871C03DA010}"/>
    <hyperlink ref="A70" r:id="rId68" xr:uid="{D3543F00-96DC-467E-B541-8DEBB3FF9EEE}"/>
    <hyperlink ref="V14" r:id="rId69" display="Organization Management" xr:uid="{5819D334-23CC-4E96-87D9-3D3F88858E7C}"/>
    <hyperlink ref="V15" r:id="rId70" display="SharePoint Admin" xr:uid="{1D5AA964-B9EE-4374-B7DC-8599C12A3917}"/>
    <hyperlink ref="V17" r:id="rId71" display="SharePoint Admin" xr:uid="{2A29CDB5-E7A6-4661-A4AE-09A9E90AAA83}"/>
    <hyperlink ref="A4" r:id="rId72" display="   Microsoft Apps for Enterprise (Office ProPlus)" xr:uid="{4351A986-8F38-43CE-81E2-E47D4D01E484}"/>
    <hyperlink ref="T4" r:id="rId73" xr:uid="{75B10030-A1DC-48E9-9117-07724B8A10E6}"/>
  </hyperlinks>
  <pageMargins left="0.7" right="0.7" top="0.75" bottom="0.75" header="0.3" footer="0.3"/>
  <pageSetup paperSize="119" orientation="landscape" horizontalDpi="4294967293" r:id="rId74"/>
  <legacyDrawing r:id="rId75"/>
  <extLst>
    <ext xmlns:x14="http://schemas.microsoft.com/office/spreadsheetml/2009/9/main" uri="{CCE6A557-97BC-4b89-ADB6-D9C93CAAB3DF}">
      <x14:dataValidations xmlns:xm="http://schemas.microsoft.com/office/excel/2006/main" count="4">
        <x14:dataValidation type="list" allowBlank="1" showInputMessage="1" showErrorMessage="1" xr:uid="{AB8A1705-F85C-4EBA-BB3A-3D04F211D67B}">
          <x14:formula1>
            <xm:f>'Exec Summary'!$C$109:$C$116</xm:f>
          </x14:formula1>
          <xm:sqref>J4</xm:sqref>
        </x14:dataValidation>
        <x14:dataValidation type="list" allowBlank="1" showInputMessage="1" showErrorMessage="1" xr:uid="{947DAF7B-6612-4301-9C45-C1A426D8529B}">
          <x14:formula1>
            <xm:f>'Data Validations'!$B$2:$B$5</xm:f>
          </x14:formula1>
          <xm:sqref>L4</xm:sqref>
        </x14:dataValidation>
        <x14:dataValidation type="list" allowBlank="1" showInputMessage="1" showErrorMessage="1" xr:uid="{46C8CEFB-EB5F-4CF0-A008-4F9609C353AF}">
          <x14:formula1>
            <xm:f>'Data Validations'!$A$2:$A$5</xm:f>
          </x14:formula1>
          <xm:sqref>K4</xm:sqref>
        </x14:dataValidation>
        <x14:dataValidation type="list" allowBlank="1" showInputMessage="1" showErrorMessage="1" xr:uid="{96D960B4-438A-4556-AE33-813B00E871AA}">
          <x14:formula1>
            <xm:f>'Data Validations'!$C$2:$C$8</xm:f>
          </x14:formula1>
          <xm:sqref>E4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83B5-8262-4869-9DE3-88D7F7280140}">
  <sheetPr codeName="Sheet7"/>
  <dimension ref="A1:E25"/>
  <sheetViews>
    <sheetView zoomScale="160" zoomScaleNormal="160" workbookViewId="0">
      <selection activeCell="A19" sqref="A19"/>
    </sheetView>
  </sheetViews>
  <sheetFormatPr defaultRowHeight="14.25" x14ac:dyDescent="0.45"/>
  <cols>
    <col min="1" max="1" width="19.1328125" bestFit="1" customWidth="1"/>
    <col min="2" max="2" width="16.3984375" customWidth="1"/>
    <col min="3" max="3" width="18.86328125" bestFit="1" customWidth="1"/>
    <col min="4" max="4" width="10.59765625" bestFit="1" customWidth="1"/>
  </cols>
  <sheetData>
    <row r="1" spans="1:5" x14ac:dyDescent="0.45">
      <c r="A1" s="141" t="s">
        <v>1150</v>
      </c>
      <c r="B1" s="141"/>
    </row>
    <row r="2" spans="1:5" x14ac:dyDescent="0.45">
      <c r="A2" s="141"/>
      <c r="B2" s="141" t="s">
        <v>1151</v>
      </c>
      <c r="C2" t="s">
        <v>1152</v>
      </c>
      <c r="D2" t="s">
        <v>1153</v>
      </c>
      <c r="E2" t="s">
        <v>1154</v>
      </c>
    </row>
    <row r="3" spans="1:5" x14ac:dyDescent="0.45">
      <c r="A3" s="141" t="s">
        <v>1155</v>
      </c>
      <c r="B3" s="141"/>
    </row>
    <row r="4" spans="1:5" x14ac:dyDescent="0.45">
      <c r="A4" s="302" t="s">
        <v>1156</v>
      </c>
      <c r="B4" s="141"/>
    </row>
    <row r="5" spans="1:5" x14ac:dyDescent="0.45">
      <c r="A5" s="302"/>
      <c r="B5" s="141"/>
    </row>
    <row r="6" spans="1:5" x14ac:dyDescent="0.45">
      <c r="A6" s="141" t="s">
        <v>1157</v>
      </c>
    </row>
    <row r="7" spans="1:5" x14ac:dyDescent="0.45">
      <c r="A7" s="302" t="s">
        <v>1158</v>
      </c>
      <c r="B7" s="302"/>
    </row>
    <row r="8" spans="1:5" x14ac:dyDescent="0.45">
      <c r="A8" s="303" t="s">
        <v>1159</v>
      </c>
      <c r="B8" s="303"/>
    </row>
    <row r="9" spans="1:5" x14ac:dyDescent="0.45">
      <c r="A9" s="303" t="s">
        <v>1160</v>
      </c>
      <c r="B9" s="303"/>
    </row>
    <row r="10" spans="1:5" x14ac:dyDescent="0.45">
      <c r="A10" s="301"/>
      <c r="B10" s="301"/>
    </row>
    <row r="11" spans="1:5" x14ac:dyDescent="0.45">
      <c r="A11" s="301"/>
      <c r="B11" s="301"/>
    </row>
    <row r="12" spans="1:5" x14ac:dyDescent="0.45">
      <c r="A12" s="302" t="s">
        <v>1161</v>
      </c>
      <c r="B12" s="302"/>
    </row>
    <row r="13" spans="1:5" x14ac:dyDescent="0.45">
      <c r="A13" s="303" t="s">
        <v>1162</v>
      </c>
      <c r="B13" s="303"/>
    </row>
    <row r="14" spans="1:5" x14ac:dyDescent="0.45">
      <c r="A14" s="303"/>
      <c r="B14" s="303"/>
    </row>
    <row r="15" spans="1:5" x14ac:dyDescent="0.45">
      <c r="A15" s="303"/>
      <c r="B15" s="303"/>
    </row>
    <row r="16" spans="1:5" x14ac:dyDescent="0.45">
      <c r="A16" s="303" t="s">
        <v>1163</v>
      </c>
      <c r="B16" s="303"/>
    </row>
    <row r="17" spans="1:2" x14ac:dyDescent="0.45">
      <c r="A17" s="303"/>
      <c r="B17" s="303"/>
    </row>
    <row r="18" spans="1:2" x14ac:dyDescent="0.45">
      <c r="A18" s="303" t="s">
        <v>521</v>
      </c>
      <c r="B18" s="303"/>
    </row>
    <row r="20" spans="1:2" x14ac:dyDescent="0.45">
      <c r="A20" s="141" t="s">
        <v>1164</v>
      </c>
    </row>
    <row r="21" spans="1:2" x14ac:dyDescent="0.45">
      <c r="A21" s="301" t="s">
        <v>1158</v>
      </c>
    </row>
    <row r="23" spans="1:2" x14ac:dyDescent="0.45">
      <c r="A23" s="301" t="s">
        <v>1165</v>
      </c>
    </row>
    <row r="25" spans="1:2" x14ac:dyDescent="0.45">
      <c r="A25" s="141" t="s">
        <v>1166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B8E7-DB7C-4077-8029-354D8B9A19FC}">
  <sheetPr codeName="Sheet8"/>
  <dimension ref="A1:E8"/>
  <sheetViews>
    <sheetView workbookViewId="0">
      <selection activeCell="C5" sqref="C5"/>
    </sheetView>
  </sheetViews>
  <sheetFormatPr defaultRowHeight="14.25" x14ac:dyDescent="0.45"/>
  <cols>
    <col min="1" max="1" width="18.1328125" customWidth="1"/>
    <col min="2" max="2" width="22.86328125" customWidth="1"/>
    <col min="3" max="3" width="11.3984375" customWidth="1"/>
    <col min="4" max="4" width="18" customWidth="1"/>
  </cols>
  <sheetData>
    <row r="1" spans="1:5" x14ac:dyDescent="0.45">
      <c r="A1" t="s">
        <v>208</v>
      </c>
      <c r="B1" t="s">
        <v>1167</v>
      </c>
      <c r="C1" t="s">
        <v>201</v>
      </c>
      <c r="E1" t="s">
        <v>1168</v>
      </c>
    </row>
    <row r="2" spans="1:5" x14ac:dyDescent="0.45">
      <c r="A2" t="s">
        <v>54</v>
      </c>
      <c r="B2" t="s">
        <v>54</v>
      </c>
      <c r="C2" t="s">
        <v>54</v>
      </c>
      <c r="D2" t="s">
        <v>239</v>
      </c>
      <c r="E2" t="s">
        <v>2</v>
      </c>
    </row>
    <row r="3" spans="1:5" x14ac:dyDescent="0.45">
      <c r="A3" t="s">
        <v>1169</v>
      </c>
      <c r="B3" t="s">
        <v>1170</v>
      </c>
      <c r="C3" t="s">
        <v>1171</v>
      </c>
      <c r="D3" t="s">
        <v>246</v>
      </c>
      <c r="E3" t="s">
        <v>1172</v>
      </c>
    </row>
    <row r="4" spans="1:5" x14ac:dyDescent="0.45">
      <c r="A4" t="s">
        <v>1173</v>
      </c>
      <c r="B4" t="s">
        <v>1174</v>
      </c>
      <c r="C4" t="s">
        <v>1175</v>
      </c>
      <c r="D4" t="s">
        <v>232</v>
      </c>
    </row>
    <row r="5" spans="1:5" x14ac:dyDescent="0.45">
      <c r="A5" t="s">
        <v>1176</v>
      </c>
      <c r="B5" t="s">
        <v>1177</v>
      </c>
      <c r="C5">
        <v>1</v>
      </c>
      <c r="D5" t="s">
        <v>351</v>
      </c>
    </row>
    <row r="6" spans="1:5" x14ac:dyDescent="0.45">
      <c r="C6">
        <v>2</v>
      </c>
      <c r="D6" t="s">
        <v>359</v>
      </c>
    </row>
    <row r="7" spans="1:5" x14ac:dyDescent="0.45">
      <c r="C7">
        <v>3</v>
      </c>
      <c r="D7" t="s">
        <v>296</v>
      </c>
    </row>
    <row r="8" spans="1:5" x14ac:dyDescent="0.45">
      <c r="C8">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B18D5F81C5204E8D44BB48CDD136F5" ma:contentTypeVersion="8" ma:contentTypeDescription="Create a new document." ma:contentTypeScope="" ma:versionID="232a9a49c73f41b2ecc13ccda16bcaef">
  <xsd:schema xmlns:xsd="http://www.w3.org/2001/XMLSchema" xmlns:xs="http://www.w3.org/2001/XMLSchema" xmlns:p="http://schemas.microsoft.com/office/2006/metadata/properties" xmlns:ns1="http://schemas.microsoft.com/sharepoint/v3" xmlns:ns2="7185bded-e41d-46df-89ce-60a12bef4228" xmlns:ns3="6240de6f-4e8b-45a9-8eff-b18a540d7429" targetNamespace="http://schemas.microsoft.com/office/2006/metadata/properties" ma:root="true" ma:fieldsID="da5d5b25531d831b2d13c89d9218ff34" ns1:_="" ns2:_="" ns3:_="">
    <xsd:import namespace="http://schemas.microsoft.com/sharepoint/v3"/>
    <xsd:import namespace="7185bded-e41d-46df-89ce-60a12bef4228"/>
    <xsd:import namespace="6240de6f-4e8b-45a9-8eff-b18a540d74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85bded-e41d-46df-89ce-60a12bef42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40de6f-4e8b-45a9-8eff-b18a540d742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DBA340-878A-49FA-B398-77371118A9CB}">
  <ds:schemaRefs>
    <ds:schemaRef ds:uri="http://schemas.microsoft.com/sharepoint/v3/contenttype/forms"/>
  </ds:schemaRefs>
</ds:datastoreItem>
</file>

<file path=customXml/itemProps2.xml><?xml version="1.0" encoding="utf-8"?>
<ds:datastoreItem xmlns:ds="http://schemas.openxmlformats.org/officeDocument/2006/customXml" ds:itemID="{CFCA4C9D-A2E8-4398-A24D-1413739D32A5}">
  <ds:schemaRefs>
    <ds:schemaRef ds:uri="http://schemas.microsoft.com/office/2006/documentManagement/types"/>
    <ds:schemaRef ds:uri="6240de6f-4e8b-45a9-8eff-b18a540d7429"/>
    <ds:schemaRef ds:uri="http://purl.org/dc/elements/1.1/"/>
    <ds:schemaRef ds:uri="http://schemas.microsoft.com/office/2006/metadata/properties"/>
    <ds:schemaRef ds:uri="http://schemas.openxmlformats.org/package/2006/metadata/core-properties"/>
    <ds:schemaRef ds:uri="http://www.w3.org/XML/1998/namespace"/>
    <ds:schemaRef ds:uri="http://purl.org/dc/terms/"/>
    <ds:schemaRef ds:uri="http://purl.org/dc/dcmitype/"/>
    <ds:schemaRef ds:uri="http://schemas.microsoft.com/office/infopath/2007/PartnerControls"/>
    <ds:schemaRef ds:uri="7185bded-e41d-46df-89ce-60a12bef4228"/>
    <ds:schemaRef ds:uri="http://schemas.microsoft.com/sharepoint/v3"/>
  </ds:schemaRefs>
</ds:datastoreItem>
</file>

<file path=customXml/itemProps3.xml><?xml version="1.0" encoding="utf-8"?>
<ds:datastoreItem xmlns:ds="http://schemas.openxmlformats.org/officeDocument/2006/customXml" ds:itemID="{171D3C7B-1414-4A12-8FBD-B3821A6390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85bded-e41d-46df-89ce-60a12bef4228"/>
    <ds:schemaRef ds:uri="6240de6f-4e8b-45a9-8eff-b18a540d74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Config</vt:lpstr>
      <vt:lpstr>Exec Summary</vt:lpstr>
      <vt:lpstr>Maturity Matrix</vt:lpstr>
      <vt:lpstr>SCIMP Plan</vt:lpstr>
      <vt:lpstr>Text</vt:lpstr>
      <vt:lpstr>Inventory</vt:lpstr>
      <vt:lpstr>MW Plan</vt:lpstr>
      <vt:lpstr>Accessibility</vt:lpstr>
      <vt:lpstr>Data Validations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Stefanie.Jacobs@microsoft.com</dc:creator>
  <cp:keywords/>
  <dc:description/>
  <cp:lastModifiedBy>Stefanie Jacobs</cp:lastModifiedBy>
  <cp:revision/>
  <dcterms:created xsi:type="dcterms:W3CDTF">2021-06-07T09:47:24Z</dcterms:created>
  <dcterms:modified xsi:type="dcterms:W3CDTF">2026-06-01T00:21:14Z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igned by:">
    <vt:lpwstr>Chris Howett (chhowett@microsoft.com)</vt:lpwstr>
  </property>
  <property fmtid="{D5CDD505-2E9C-101B-9397-08002B2CF9AE}" pid="3" name="ContentTypeId">
    <vt:lpwstr>0x010100EDB18D5F81C5204E8D44BB48CDD136F5</vt:lpwstr>
  </property>
</Properties>
</file>